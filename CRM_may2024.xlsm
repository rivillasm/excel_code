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rio_backup\Desktop\mario\Tesseral\2024\CRM\"/>
    </mc:Choice>
  </mc:AlternateContent>
  <xr:revisionPtr revIDLastSave="0" documentId="8_{3EC8B0B9-DB42-42CF-9458-2ABBC3B63302}" xr6:coauthVersionLast="47" xr6:coauthVersionMax="47" xr10:uidLastSave="{00000000-0000-0000-0000-000000000000}"/>
  <bookViews>
    <workbookView xWindow="38280" yWindow="-120" windowWidth="19440" windowHeight="15000" xr2:uid="{48CC5983-899F-4569-A4A1-6A4E2F8B105A}"/>
  </bookViews>
  <sheets>
    <sheet name="Mini-CRM" sheetId="1" r:id="rId1"/>
    <sheet name="Contacts" sheetId="6" r:id="rId2"/>
    <sheet name="Documents" sheetId="7" r:id="rId3"/>
    <sheet name="Emails" sheetId="8" r:id="rId4"/>
    <sheet name="Reminder" sheetId="9" r:id="rId5"/>
  </sheets>
  <externalReferences>
    <externalReference r:id="rId6"/>
    <externalReference r:id="rId7"/>
  </externalReferences>
  <definedNames>
    <definedName name="ContactNames">OFFSET(Contacts!$A$3,1,,COUNTA(Contacts!$A$3:$A$999)-1,1)</definedName>
    <definedName name="Documents">OFFSET(Documents!$A$3,1,,COUNTA(Documents!$A$3:$A$9999)-1,1)</definedName>
    <definedName name="Emails">OFFSET(Emails!$A$3,1,,COUNTA(Emails!$A$3:$A$9999)-1,1)</definedName>
    <definedName name="Reminders">OFFSET(Reminder!$A$3,1,,COUNTA(Reminder!$A$3:$A$999)-1,1)</definedName>
    <definedName name="ReminderSummary">OFFSET(Reminder!$F$3,1,,COUNTA(Reminder!$F$3:$F$999)-1,1)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9" l="1"/>
  <c r="F6" i="9"/>
  <c r="F5" i="9"/>
  <c r="F4" i="9"/>
  <c r="F2" i="9"/>
  <c r="B5" i="6"/>
  <c r="B6" i="6" s="1"/>
  <c r="B7" i="6" s="1"/>
  <c r="B8" i="1"/>
  <c r="B12" i="1"/>
  <c r="B18" i="1"/>
  <c r="B4" i="1"/>
</calcChain>
</file>

<file path=xl/sharedStrings.xml><?xml version="1.0" encoding="utf-8"?>
<sst xmlns="http://schemas.openxmlformats.org/spreadsheetml/2006/main" count="155" uniqueCount="114">
  <si>
    <t>Name</t>
  </si>
  <si>
    <t>Phone</t>
  </si>
  <si>
    <t>Email</t>
  </si>
  <si>
    <t>Notes</t>
  </si>
  <si>
    <t>Contact Details</t>
  </si>
  <si>
    <t>New Contact</t>
  </si>
  <si>
    <t>Sel. Contact</t>
  </si>
  <si>
    <t>Cont DB Row</t>
  </si>
  <si>
    <t>Document Details</t>
  </si>
  <si>
    <t>New Doc</t>
  </si>
  <si>
    <t>Sel. Doc</t>
  </si>
  <si>
    <t>Doc DB Row</t>
  </si>
  <si>
    <t>Email Details</t>
  </si>
  <si>
    <t>New Email</t>
  </si>
  <si>
    <t>Sel. Attach</t>
  </si>
  <si>
    <t>Sel. Email</t>
  </si>
  <si>
    <t>Reminder Details</t>
  </si>
  <si>
    <t>New Remind.</t>
  </si>
  <si>
    <t>Sel. Remind.</t>
  </si>
  <si>
    <t>Remind. Row</t>
  </si>
  <si>
    <t>CONTACTS</t>
  </si>
  <si>
    <t>G4</t>
  </si>
  <si>
    <t>I4</t>
  </si>
  <si>
    <t>G6</t>
  </si>
  <si>
    <t>G8</t>
  </si>
  <si>
    <t>Contacts Data</t>
  </si>
  <si>
    <t>Fred Fredders</t>
  </si>
  <si>
    <t>Fred@Gmail.com</t>
  </si>
  <si>
    <t>David Davis</t>
  </si>
  <si>
    <t>David@gmail.com</t>
  </si>
  <si>
    <t>Lisa Lopez</t>
  </si>
  <si>
    <t>Lisa@gmail.com</t>
  </si>
  <si>
    <t>John Jacobs</t>
  </si>
  <si>
    <t>John@gmail.com</t>
  </si>
  <si>
    <t>Beth Richards</t>
  </si>
  <si>
    <t>Beth@gmail.com</t>
  </si>
  <si>
    <t>Mary Davis</t>
  </si>
  <si>
    <t>Mary@gmail.com</t>
  </si>
  <si>
    <t>Test Notes for marry</t>
  </si>
  <si>
    <t>John James</t>
  </si>
  <si>
    <t>Test Notes</t>
  </si>
  <si>
    <t>Ted Tedders</t>
  </si>
  <si>
    <t>Ted@gmail</t>
  </si>
  <si>
    <t>Randy@ExcelForFreelancers.com</t>
  </si>
  <si>
    <t>Fred</t>
  </si>
  <si>
    <t>David</t>
  </si>
  <si>
    <t>AD4</t>
  </si>
  <si>
    <t>AF4</t>
  </si>
  <si>
    <t>AD6</t>
  </si>
  <si>
    <t>AD8</t>
  </si>
  <si>
    <t>Documents Database</t>
  </si>
  <si>
    <t>Contact</t>
  </si>
  <si>
    <t>Location</t>
  </si>
  <si>
    <t>Att2Thumb.png</t>
  </si>
  <si>
    <t>C:\Users\neilr\Dropbox\Excel4Freelancers\FreeTrainingVideos\Attachments Pt.2\Att2Thumb.png</t>
  </si>
  <si>
    <t>Test Documents Notes</t>
  </si>
  <si>
    <t>Attachments_Pt_2.xlsm</t>
  </si>
  <si>
    <t>C:\Users\neilr\Dropbox\Excel4Freelancers\FreeTrainingVideos\Attachments Pt.2\Attachments_Pt_2.xlsm</t>
  </si>
  <si>
    <t>R2</t>
  </si>
  <si>
    <t>R4</t>
  </si>
  <si>
    <t>T4</t>
  </si>
  <si>
    <t>R6</t>
  </si>
  <si>
    <t>R8</t>
  </si>
  <si>
    <t>Email Data</t>
  </si>
  <si>
    <t>Send To</t>
  </si>
  <si>
    <t>Subject</t>
  </si>
  <si>
    <t>Attachment</t>
  </si>
  <si>
    <t>Message</t>
  </si>
  <si>
    <t>Test Subject</t>
  </si>
  <si>
    <t>Test Message</t>
  </si>
  <si>
    <t>Test</t>
  </si>
  <si>
    <t>AR4</t>
  </si>
  <si>
    <t>AT4</t>
  </si>
  <si>
    <t>AR6</t>
  </si>
  <si>
    <t>AT6</t>
  </si>
  <si>
    <t>AR8</t>
  </si>
  <si>
    <t>Reminders Database</t>
  </si>
  <si>
    <t>Reminder</t>
  </si>
  <si>
    <t>Date</t>
  </si>
  <si>
    <t>Time</t>
  </si>
  <si>
    <t>Details</t>
  </si>
  <si>
    <t>Summary</t>
  </si>
  <si>
    <t>Call Fred</t>
  </si>
  <si>
    <t>Test details</t>
  </si>
  <si>
    <t>Call David</t>
  </si>
  <si>
    <t xml:space="preserve">Test </t>
  </si>
  <si>
    <t>Davids Meeting</t>
  </si>
  <si>
    <t>Test Meeting</t>
  </si>
  <si>
    <t>Meeting with Fred</t>
  </si>
  <si>
    <t>test Details</t>
  </si>
  <si>
    <t>Select Contact:</t>
  </si>
  <si>
    <t>Contact Name:</t>
  </si>
  <si>
    <t>Phone:</t>
  </si>
  <si>
    <t>Email Address:</t>
  </si>
  <si>
    <t>Notes:</t>
  </si>
  <si>
    <t>EMAILS</t>
  </si>
  <si>
    <t>Send To:</t>
  </si>
  <si>
    <t>Email:</t>
  </si>
  <si>
    <t>Attachments:</t>
  </si>
  <si>
    <t>Messages:</t>
  </si>
  <si>
    <t>Select To Attach</t>
  </si>
  <si>
    <t>Recent Emails</t>
  </si>
  <si>
    <t>DOCUMENTS</t>
  </si>
  <si>
    <t>Documents</t>
  </si>
  <si>
    <t>Document Name:</t>
  </si>
  <si>
    <t>Contact:</t>
  </si>
  <si>
    <t>Location:</t>
  </si>
  <si>
    <t>Document Notes:</t>
  </si>
  <si>
    <t>REMINDERS</t>
  </si>
  <si>
    <t>Reminder:</t>
  </si>
  <si>
    <t>Time:</t>
  </si>
  <si>
    <t>Date:</t>
  </si>
  <si>
    <t>Reminders</t>
  </si>
  <si>
    <t>Details: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</si>
</sst>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30"/>
      <color rgb="FF0070C0"/>
      <name val="Arial Rounded MT Bold"/>
      <family val="2"/>
    </font>
    <font>
      <u/>
      <sz val="11"/>
      <color theme="1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gradientFill degree="90">
        <stop position="0">
          <color theme="4" tint="0.59999389629810485"/>
        </stop>
        <stop position="1">
          <color theme="3" tint="0.80001220740379042"/>
        </stop>
      </gradient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0D74B3"/>
      </left>
      <right style="dashed">
        <color rgb="FF0D74B3"/>
      </right>
      <top style="medium">
        <color rgb="FF0D74B3"/>
      </top>
      <bottom style="medium">
        <color rgb="FF0D74B3"/>
      </bottom>
      <diagonal/>
    </border>
    <border>
      <left/>
      <right style="medium">
        <color rgb="FF007CA8"/>
      </right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/>
      <diagonal/>
    </border>
    <border>
      <left/>
      <right style="medium">
        <color rgb="FF007CA8"/>
      </right>
      <top style="medium">
        <color rgb="FF007CA8"/>
      </top>
      <bottom/>
      <diagonal/>
    </border>
    <border>
      <left/>
      <right style="medium">
        <color rgb="FF007CA8"/>
      </right>
      <top/>
      <bottom/>
      <diagonal/>
    </border>
    <border>
      <left/>
      <right/>
      <top/>
      <bottom style="medium">
        <color rgb="FF007CA8"/>
      </bottom>
      <diagonal/>
    </border>
    <border>
      <left/>
      <right style="medium">
        <color rgb="FF007CA8"/>
      </right>
      <top/>
      <bottom style="medium">
        <color rgb="FF007CA8"/>
      </bottom>
      <diagonal/>
    </border>
    <border>
      <left style="medium">
        <color rgb="FF0D74B3"/>
      </left>
      <right/>
      <top style="medium">
        <color rgb="FF0D74B3"/>
      </top>
      <bottom style="medium">
        <color rgb="FF0D74B3"/>
      </bottom>
      <diagonal/>
    </border>
    <border>
      <left style="dashed">
        <color rgb="FF007CA8"/>
      </left>
      <right/>
      <top style="medium">
        <color rgb="FF007CA8"/>
      </top>
      <bottom/>
      <diagonal/>
    </border>
    <border>
      <left style="dashed">
        <color rgb="FF007CA8"/>
      </left>
      <right/>
      <top/>
      <bottom/>
      <diagonal/>
    </border>
    <border>
      <left style="dashed">
        <color rgb="FF007CA8"/>
      </left>
      <right/>
      <top/>
      <bottom style="medium">
        <color rgb="FF007CA8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dashed">
        <color rgb="FF0D74B3"/>
      </left>
      <right/>
      <top style="medium">
        <color rgb="FF007CA8"/>
      </top>
      <bottom style="medium">
        <color rgb="FF007CA8"/>
      </bottom>
      <diagonal/>
    </border>
    <border>
      <left/>
      <right/>
      <top style="medium">
        <color rgb="FF007CA8"/>
      </top>
      <bottom style="medium">
        <color rgb="FF007CA8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4" borderId="0" xfId="0" applyFill="1"/>
    <xf numFmtId="0" fontId="0" fillId="5" borderId="0" xfId="0" applyFill="1"/>
    <xf numFmtId="0" fontId="0" fillId="6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3" fillId="0" borderId="0" xfId="1"/>
    <xf numFmtId="0" fontId="0" fillId="9" borderId="4" xfId="0" applyFill="1" applyBorder="1"/>
    <xf numFmtId="0" fontId="0" fillId="10" borderId="1" xfId="0" applyFill="1" applyBorder="1" applyAlignment="1">
      <alignment horizontal="center"/>
    </xf>
    <xf numFmtId="0" fontId="0" fillId="12" borderId="1" xfId="0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0" fillId="14" borderId="1" xfId="0" applyFill="1" applyBorder="1" applyAlignment="1">
      <alignment horizontal="center"/>
    </xf>
    <xf numFmtId="0" fontId="0" fillId="14" borderId="5" xfId="0" applyFill="1" applyBorder="1" applyAlignment="1">
      <alignment horizontal="center"/>
    </xf>
    <xf numFmtId="14" fontId="0" fillId="0" borderId="0" xfId="0" applyNumberFormat="1"/>
    <xf numFmtId="164" fontId="0" fillId="0" borderId="0" xfId="0" applyNumberFormat="1"/>
    <xf numFmtId="0" fontId="0" fillId="15" borderId="0" xfId="0" applyFill="1"/>
    <xf numFmtId="0" fontId="0" fillId="5" borderId="0" xfId="0" applyFill="1" applyAlignment="1">
      <alignment horizontal="right"/>
    </xf>
    <xf numFmtId="0" fontId="0" fillId="16" borderId="7" xfId="0" applyFill="1" applyBorder="1"/>
    <xf numFmtId="0" fontId="1" fillId="5" borderId="6" xfId="0" applyFont="1" applyFill="1" applyBorder="1" applyAlignment="1">
      <alignment horizontal="right"/>
    </xf>
    <xf numFmtId="0" fontId="1" fillId="5" borderId="13" xfId="0" applyFont="1" applyFill="1" applyBorder="1" applyAlignment="1">
      <alignment horizontal="right"/>
    </xf>
    <xf numFmtId="0" fontId="4" fillId="17" borderId="17" xfId="0" applyFont="1" applyFill="1" applyBorder="1" applyAlignment="1">
      <alignment horizontal="center"/>
    </xf>
    <xf numFmtId="14" fontId="0" fillId="16" borderId="7" xfId="0" applyNumberFormat="1" applyFill="1" applyBorder="1"/>
    <xf numFmtId="164" fontId="0" fillId="16" borderId="7" xfId="0" applyNumberFormat="1" applyFill="1" applyBorder="1"/>
    <xf numFmtId="49" fontId="2" fillId="4" borderId="0" xfId="0" applyNumberFormat="1" applyFont="1" applyFill="1" applyAlignment="1">
      <alignment horizontal="center" vertical="center"/>
    </xf>
    <xf numFmtId="0" fontId="0" fillId="16" borderId="14" xfId="0" applyFill="1" applyBorder="1" applyAlignment="1">
      <alignment horizontal="center"/>
    </xf>
    <xf numFmtId="0" fontId="0" fillId="16" borderId="8" xfId="0" applyFill="1" applyBorder="1" applyAlignment="1">
      <alignment horizontal="center"/>
    </xf>
    <xf numFmtId="0" fontId="0" fillId="16" borderId="9" xfId="0" applyFill="1" applyBorder="1" applyAlignment="1">
      <alignment horizontal="center"/>
    </xf>
    <xf numFmtId="0" fontId="0" fillId="16" borderId="15" xfId="0" applyFill="1" applyBorder="1" applyAlignment="1">
      <alignment horizontal="center"/>
    </xf>
    <xf numFmtId="0" fontId="0" fillId="16" borderId="0" xfId="0" applyFill="1" applyAlignment="1">
      <alignment horizontal="center"/>
    </xf>
    <xf numFmtId="0" fontId="0" fillId="16" borderId="10" xfId="0" applyFill="1" applyBorder="1" applyAlignment="1">
      <alignment horizontal="center"/>
    </xf>
    <xf numFmtId="0" fontId="0" fillId="16" borderId="16" xfId="0" applyFill="1" applyBorder="1" applyAlignment="1">
      <alignment horizontal="center"/>
    </xf>
    <xf numFmtId="0" fontId="0" fillId="16" borderId="11" xfId="0" applyFill="1" applyBorder="1" applyAlignment="1">
      <alignment horizontal="center"/>
    </xf>
    <xf numFmtId="0" fontId="0" fillId="16" borderId="12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13" borderId="1" xfId="0" applyFill="1" applyBorder="1" applyAlignment="1">
      <alignment horizontal="center"/>
    </xf>
    <xf numFmtId="0" fontId="0" fillId="16" borderId="7" xfId="0" applyFill="1" applyBorder="1" applyAlignment="1">
      <alignment horizontal="center"/>
    </xf>
    <xf numFmtId="0" fontId="0" fillId="16" borderId="18" xfId="0" applyFill="1" applyBorder="1" applyAlignment="1">
      <alignment horizontal="center"/>
    </xf>
    <xf numFmtId="0" fontId="0" fillId="16" borderId="19" xfId="0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D74B3"/>
      <color rgb="FF007CA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List" dx="16" fmlaLink="$B$3" fmlaRange="ContactNames" noThreeD="1" sel="5" val="0"/>
</file>

<file path=xl/ctrlProps/ctrlProp2.xml><?xml version="1.0" encoding="utf-8"?>
<formControlPr xmlns="http://schemas.microsoft.com/office/spreadsheetml/2009/9/main" objectType="List" dx="16" fmlaLink="$B$14" fmlaRange="Emails" noThreeD="1" sel="1" val="0"/>
</file>

<file path=xl/ctrlProps/ctrlProp3.xml><?xml version="1.0" encoding="utf-8"?>
<formControlPr xmlns="http://schemas.microsoft.com/office/spreadsheetml/2009/9/main" objectType="List" dx="16" fmlaLink="$B$13" fmlaRange="Documents" noThreeD="1" sel="1" val="0"/>
</file>

<file path=xl/ctrlProps/ctrlProp4.xml><?xml version="1.0" encoding="utf-8"?>
<formControlPr xmlns="http://schemas.microsoft.com/office/spreadsheetml/2009/9/main" objectType="List" dx="16" fmlaLink="$B$7" fmlaRange="Documents" noThreeD="1" sel="1" val="0"/>
</file>

<file path=xl/ctrlProps/ctrlProp5.xml><?xml version="1.0" encoding="utf-8"?>
<formControlPr xmlns="http://schemas.microsoft.com/office/spreadsheetml/2009/9/main" objectType="List" dx="16" fmlaLink="$B$17" fmlaRange="ReminderSummary" noThreeD="1" sel="1" val="0"/>
</file>

<file path=xl/ctrlProps/ctrlProp6.xml><?xml version="1.0" encoding="utf-8"?>
<formControlPr xmlns="http://schemas.microsoft.com/office/spreadsheetml/2009/9/main" objectType="List" dx="16" fmlaLink="$B$7" fmlaRange="Documents" noThreeD="1" sel="1" val="0"/>
</file>

<file path=xl/ctrlProps/ctrlProp7.xml><?xml version="1.0" encoding="utf-8"?>
<formControlPr xmlns="http://schemas.microsoft.com/office/spreadsheetml/2009/9/main" objectType="List" dx="16" fmlaLink="$B$17" fmlaRange="ReminderSummary" noThreeD="1" sel="1" val="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13" Type="http://schemas.openxmlformats.org/officeDocument/2006/relationships/image" Target="../media/image13.png"/><Relationship Id="rId18" Type="http://schemas.openxmlformats.org/officeDocument/2006/relationships/image" Target="../media/image1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svg"/><Relationship Id="rId17" Type="http://schemas.openxmlformats.org/officeDocument/2006/relationships/image" Target="../media/image17.svg"/><Relationship Id="rId2" Type="http://schemas.openxmlformats.org/officeDocument/2006/relationships/image" Target="../media/image2.svg"/><Relationship Id="rId16" Type="http://schemas.openxmlformats.org/officeDocument/2006/relationships/image" Target="../media/image16.png"/><Relationship Id="rId20" Type="http://schemas.openxmlformats.org/officeDocument/2006/relationships/image" Target="../media/image20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svg"/><Relationship Id="rId19" Type="http://schemas.openxmlformats.org/officeDocument/2006/relationships/image" Target="../media/image19.svg"/><Relationship Id="rId4" Type="http://schemas.openxmlformats.org/officeDocument/2006/relationships/image" Target="../media/image4.svg"/><Relationship Id="rId9" Type="http://schemas.openxmlformats.org/officeDocument/2006/relationships/image" Target="../media/image9.png"/><Relationship Id="rId14" Type="http://schemas.openxmlformats.org/officeDocument/2006/relationships/image" Target="../media/image1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1114425</xdr:colOff>
      <xdr:row>0</xdr:row>
      <xdr:rowOff>0</xdr:rowOff>
    </xdr:from>
    <xdr:to>
      <xdr:col>51</xdr:col>
      <xdr:colOff>6909075</xdr:colOff>
      <xdr:row>18</xdr:row>
      <xdr:rowOff>75975</xdr:rowOff>
    </xdr:to>
    <xdr:grpSp>
      <xdr:nvGrpSpPr>
        <xdr:cNvPr id="1075" name="HomeGrp" hidden="1">
          <a:extLst>
            <a:ext uri="{FF2B5EF4-FFF2-40B4-BE49-F238E27FC236}">
              <a16:creationId xmlns:a16="http://schemas.microsoft.com/office/drawing/2014/main" id="{00000000-0008-0000-0000-000033040000}"/>
            </a:ext>
          </a:extLst>
        </xdr:cNvPr>
        <xdr:cNvGrpSpPr/>
      </xdr:nvGrpSpPr>
      <xdr:grpSpPr>
        <a:xfrm>
          <a:off x="10553700" y="0"/>
          <a:ext cx="0" cy="4362225"/>
          <a:chOff x="3457575" y="0"/>
          <a:chExt cx="5794650" cy="4362225"/>
        </a:xfrm>
      </xdr:grpSpPr>
      <xdr:sp macro="[0]!Show_Contact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/>
        </xdr:nvSpPr>
        <xdr:spPr>
          <a:xfrm>
            <a:off x="345757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CONTACTS</a:t>
            </a:r>
          </a:p>
        </xdr:txBody>
      </xdr:sp>
      <xdr:sp macro="[0]!Show_Email" textlink="">
        <xdr:nvSpPr>
          <xdr:cNvPr id="17" name="Rectangle 16" hidden="1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6372225" y="723900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EMAILS</a:t>
            </a:r>
          </a:p>
        </xdr:txBody>
      </xdr:sp>
      <xdr:sp macro="[0]!Show_Reminder" textlink="">
        <xdr:nvSpPr>
          <xdr:cNvPr id="18" name="Rectangle 17" hidden="1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37222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r"/>
            <a:r>
              <a:rPr lang="en-CA" sz="1600" b="1" i="1">
                <a:solidFill>
                  <a:schemeClr val="accent1"/>
                </a:solidFill>
              </a:rPr>
              <a:t>REMINDERS</a:t>
            </a:r>
          </a:p>
        </xdr:txBody>
      </xdr:sp>
      <xdr:sp macro="[0]!Show_Document" textlink="">
        <xdr:nvSpPr>
          <xdr:cNvPr id="16" name="Rectangle 15" hidden="1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3457575" y="2562225"/>
            <a:ext cx="2880000" cy="1800000"/>
          </a:xfrm>
          <a:prstGeom prst="rect">
            <a:avLst/>
          </a:prstGeom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  <a:ln w="19050">
            <a:solidFill>
              <a:srgbClr val="0D74B3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CA" sz="1600" b="1" i="1">
                <a:solidFill>
                  <a:schemeClr val="accent1"/>
                </a:solidFill>
              </a:rPr>
              <a:t>DOCUMENTS</a:t>
            </a:r>
          </a:p>
        </xdr:txBody>
      </xdr:sp>
      <xdr:grpSp>
        <xdr:nvGrpSpPr>
          <xdr:cNvPr id="1110" name="Group 1109" hidden="1">
            <a:extLst>
              <a:ext uri="{FF2B5EF4-FFF2-40B4-BE49-F238E27FC236}">
                <a16:creationId xmlns:a16="http://schemas.microsoft.com/office/drawing/2014/main" id="{00000000-0008-0000-0000-000056040000}"/>
              </a:ext>
            </a:extLst>
          </xdr:cNvPr>
          <xdr:cNvGrpSpPr/>
        </xdr:nvGrpSpPr>
        <xdr:grpSpPr>
          <a:xfrm>
            <a:off x="5419724" y="1609724"/>
            <a:ext cx="1847625" cy="1847625"/>
            <a:chOff x="48520349" y="1657349"/>
            <a:chExt cx="1847625" cy="1847625"/>
          </a:xfrm>
        </xdr:grpSpPr>
        <xdr:sp macro="[0]!Show_Email" textlink="">
          <xdr:nvSpPr>
            <xdr:cNvPr id="11" name="Partial Circle 10" hidden="1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 rot="10800000">
              <a:off x="48567974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0" name="Partial Circle 9" hidden="1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/>
          </xdr:nvSpPr>
          <xdr:spPr>
            <a:xfrm rot="16200000">
              <a:off x="48520349" y="17049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6" name="Partial Circle 5" hidden="1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SpPr/>
          </xdr:nvSpPr>
          <xdr:spPr>
            <a:xfrm>
              <a:off x="48520349" y="1657349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  <xdr:sp macro="[0]!Show_Email" textlink="">
          <xdr:nvSpPr>
            <xdr:cNvPr id="12" name="Partial Circle 11" hidden="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/>
          </xdr:nvSpPr>
          <xdr:spPr>
            <a:xfrm rot="5400000">
              <a:off x="48567974" y="1666874"/>
              <a:ext cx="1800000" cy="1800000"/>
            </a:xfrm>
            <a:prstGeom prst="pie">
              <a:avLst>
                <a:gd name="adj1" fmla="val 10762841"/>
                <a:gd name="adj2" fmla="val 16200000"/>
              </a:avLst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>
                <a:solidFill>
                  <a:schemeClr val="tx1"/>
                </a:solidFill>
              </a:endParaRPr>
            </a:p>
          </xdr:txBody>
        </xdr:sp>
      </xdr:grpSp>
      <xdr:sp macro="" textlink="">
        <xdr:nvSpPr>
          <xdr:cNvPr id="4" name="Rectangle: Rounded Corners 3" hidden="1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819525" y="0"/>
            <a:ext cx="4962525" cy="80962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ctr"/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TESSERAL</a:t>
            </a:r>
            <a:r>
              <a:rPr lang="en-CA" sz="3000" baseline="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  <a:r>
              <a:rPr lang="en-CA" sz="3000">
                <a:solidFill>
                  <a:schemeClr val="accent1"/>
                </a:solidFill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  <a:latin typeface="Arial Rounded MT Bold" panose="020F0704030504030204" pitchFamily="34" charset="0"/>
              </a:rPr>
              <a:t>CRM</a:t>
            </a:r>
            <a:r>
              <a:rPr lang="en-CA" sz="3000">
                <a:solidFill>
                  <a:schemeClr val="accent1"/>
                </a:solidFill>
                <a:latin typeface="Arial Rounded MT Bold" panose="020F0704030504030204" pitchFamily="34" charset="0"/>
              </a:rPr>
              <a:t> </a:t>
            </a:r>
          </a:p>
        </xdr:txBody>
      </xdr:sp>
      <xdr:pic macro="[0]!Show_Reminder">
        <xdr:nvPicPr>
          <xdr:cNvPr id="20" name="Graphic 19" descr="Daily calendar" hidden="1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448425" y="2676525"/>
            <a:ext cx="540000" cy="540000"/>
          </a:xfrm>
          <a:prstGeom prst="rect">
            <a:avLst/>
          </a:prstGeom>
        </xdr:spPr>
      </xdr:pic>
      <xdr:pic macro="[0]!Show_Document">
        <xdr:nvPicPr>
          <xdr:cNvPr id="24" name="Graphic 23" descr="Open folder" hidden="1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5729250" y="2671725"/>
            <a:ext cx="540000" cy="540000"/>
          </a:xfrm>
          <a:prstGeom prst="rect">
            <a:avLst/>
          </a:prstGeom>
        </xdr:spPr>
      </xdr:pic>
      <xdr:pic macro="[0]!Show_Reminder">
        <xdr:nvPicPr>
          <xdr:cNvPr id="28" name="Graphic 27" descr="Daily calendar" hidden="1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600950" y="2857500"/>
            <a:ext cx="1260000" cy="1260000"/>
          </a:xfrm>
          <a:prstGeom prst="rect">
            <a:avLst/>
          </a:prstGeom>
        </xdr:spPr>
      </xdr:pic>
      <xdr:pic macro="[0]!Show_Document">
        <xdr:nvPicPr>
          <xdr:cNvPr id="29" name="Graphic 28" descr="Open folder" hidden="1">
            <a:extLst>
              <a:ext uri="{FF2B5EF4-FFF2-40B4-BE49-F238E27FC236}">
                <a16:creationId xmlns:a16="http://schemas.microsoft.com/office/drawing/2014/main" id="{00000000-0008-0000-0000-00001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3833775" y="2919375"/>
            <a:ext cx="1260000" cy="1260000"/>
          </a:xfrm>
          <a:prstGeom prst="rect">
            <a:avLst/>
          </a:prstGeom>
        </xdr:spPr>
      </xdr:pic>
      <xdr:pic macro="[0]!Show_Contact">
        <xdr:nvPicPr>
          <xdr:cNvPr id="30" name="Graphic 29" descr="Employee badge" hidden="1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3721875" y="988200"/>
            <a:ext cx="1260000" cy="1260000"/>
          </a:xfrm>
          <a:prstGeom prst="rect">
            <a:avLst/>
          </a:prstGeom>
        </xdr:spPr>
      </xdr:pic>
      <xdr:grpSp>
        <xdr:nvGrpSpPr>
          <xdr:cNvPr id="1104" name="Graphic 21" descr="Employee badge" hidden="1">
            <a:extLst>
              <a:ext uri="{FF2B5EF4-FFF2-40B4-BE49-F238E27FC236}">
                <a16:creationId xmlns:a16="http://schemas.microsoft.com/office/drawing/2014/main" id="{00000000-0008-0000-0000-000050040000}"/>
              </a:ext>
            </a:extLst>
          </xdr:cNvPr>
          <xdr:cNvGrpSpPr/>
        </xdr:nvGrpSpPr>
        <xdr:grpSpPr>
          <a:xfrm>
            <a:off x="5757600" y="2019450"/>
            <a:ext cx="450000" cy="382500"/>
            <a:chOff x="48858225" y="2067075"/>
            <a:chExt cx="450000" cy="382500"/>
          </a:xfrm>
          <a:solidFill>
            <a:schemeClr val="bg1"/>
          </a:solidFill>
        </xdr:grpSpPr>
        <xdr:sp macro="[0]!Show_Contact" textlink="">
          <xdr:nvSpPr>
            <xdr:cNvPr id="1105" name="Freeform: Shape 1104" hidden="1">
              <a:extLs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>
            <a:xfrm>
              <a:off x="49049475" y="2067075"/>
              <a:ext cx="67500" cy="90000"/>
            </a:xfrm>
            <a:custGeom>
              <a:avLst/>
              <a:gdLst>
                <a:gd name="connsiteX0" fmla="*/ 45000 w 67500"/>
                <a:gd name="connsiteY0" fmla="*/ 90000 h 90000"/>
                <a:gd name="connsiteX1" fmla="*/ 22500 w 67500"/>
                <a:gd name="connsiteY1" fmla="*/ 90000 h 90000"/>
                <a:gd name="connsiteX2" fmla="*/ 0 w 67500"/>
                <a:gd name="connsiteY2" fmla="*/ 67500 h 90000"/>
                <a:gd name="connsiteX3" fmla="*/ 0 w 67500"/>
                <a:gd name="connsiteY3" fmla="*/ 22500 h 90000"/>
                <a:gd name="connsiteX4" fmla="*/ 22500 w 67500"/>
                <a:gd name="connsiteY4" fmla="*/ 0 h 90000"/>
                <a:gd name="connsiteX5" fmla="*/ 45000 w 67500"/>
                <a:gd name="connsiteY5" fmla="*/ 0 h 90000"/>
                <a:gd name="connsiteX6" fmla="*/ 67500 w 67500"/>
                <a:gd name="connsiteY6" fmla="*/ 22500 h 90000"/>
                <a:gd name="connsiteX7" fmla="*/ 67500 w 67500"/>
                <a:gd name="connsiteY7" fmla="*/ 67500 h 90000"/>
                <a:gd name="connsiteX8" fmla="*/ 45000 w 67500"/>
                <a:gd name="connsiteY8" fmla="*/ 90000 h 90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</a:cxnLst>
              <a:rect l="l" t="t" r="r" b="b"/>
              <a:pathLst>
                <a:path w="67500" h="90000">
                  <a:moveTo>
                    <a:pt x="45000" y="90000"/>
                  </a:moveTo>
                  <a:lnTo>
                    <a:pt x="22500" y="90000"/>
                  </a:lnTo>
                  <a:cubicBezTo>
                    <a:pt x="10125" y="90000"/>
                    <a:pt x="0" y="79875"/>
                    <a:pt x="0" y="67500"/>
                  </a:cubicBezTo>
                  <a:lnTo>
                    <a:pt x="0" y="22500"/>
                  </a:lnTo>
                  <a:cubicBezTo>
                    <a:pt x="0" y="10125"/>
                    <a:pt x="10125" y="0"/>
                    <a:pt x="22500" y="0"/>
                  </a:cubicBezTo>
                  <a:lnTo>
                    <a:pt x="45000" y="0"/>
                  </a:lnTo>
                  <a:cubicBezTo>
                    <a:pt x="57375" y="0"/>
                    <a:pt x="67500" y="10125"/>
                    <a:pt x="67500" y="22500"/>
                  </a:cubicBezTo>
                  <a:lnTo>
                    <a:pt x="67500" y="67500"/>
                  </a:lnTo>
                  <a:cubicBezTo>
                    <a:pt x="67500" y="79875"/>
                    <a:pt x="57375" y="90000"/>
                    <a:pt x="45000" y="9000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  <xdr:sp macro="[0]!Show_Contact" textlink="">
          <xdr:nvSpPr>
            <xdr:cNvPr id="1106" name="Freeform: Shape 1105" hidden="1">
              <a:extLs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>
            <a:xfrm>
              <a:off x="48858225" y="2134575"/>
              <a:ext cx="450000" cy="315000"/>
            </a:xfrm>
            <a:custGeom>
              <a:avLst/>
              <a:gdLst>
                <a:gd name="connsiteX0" fmla="*/ 405000 w 450000"/>
                <a:gd name="connsiteY0" fmla="*/ 135000 h 315000"/>
                <a:gd name="connsiteX1" fmla="*/ 270000 w 450000"/>
                <a:gd name="connsiteY1" fmla="*/ 135000 h 315000"/>
                <a:gd name="connsiteX2" fmla="*/ 270000 w 450000"/>
                <a:gd name="connsiteY2" fmla="*/ 112500 h 315000"/>
                <a:gd name="connsiteX3" fmla="*/ 405000 w 450000"/>
                <a:gd name="connsiteY3" fmla="*/ 112500 h 315000"/>
                <a:gd name="connsiteX4" fmla="*/ 405000 w 450000"/>
                <a:gd name="connsiteY4" fmla="*/ 135000 h 315000"/>
                <a:gd name="connsiteX5" fmla="*/ 405000 w 450000"/>
                <a:gd name="connsiteY5" fmla="*/ 202500 h 315000"/>
                <a:gd name="connsiteX6" fmla="*/ 270000 w 450000"/>
                <a:gd name="connsiteY6" fmla="*/ 202500 h 315000"/>
                <a:gd name="connsiteX7" fmla="*/ 270000 w 450000"/>
                <a:gd name="connsiteY7" fmla="*/ 180000 h 315000"/>
                <a:gd name="connsiteX8" fmla="*/ 405000 w 450000"/>
                <a:gd name="connsiteY8" fmla="*/ 180000 h 315000"/>
                <a:gd name="connsiteX9" fmla="*/ 405000 w 450000"/>
                <a:gd name="connsiteY9" fmla="*/ 202500 h 315000"/>
                <a:gd name="connsiteX10" fmla="*/ 405000 w 450000"/>
                <a:gd name="connsiteY10" fmla="*/ 270000 h 315000"/>
                <a:gd name="connsiteX11" fmla="*/ 270000 w 450000"/>
                <a:gd name="connsiteY11" fmla="*/ 270000 h 315000"/>
                <a:gd name="connsiteX12" fmla="*/ 270000 w 450000"/>
                <a:gd name="connsiteY12" fmla="*/ 247500 h 315000"/>
                <a:gd name="connsiteX13" fmla="*/ 405000 w 450000"/>
                <a:gd name="connsiteY13" fmla="*/ 247500 h 315000"/>
                <a:gd name="connsiteX14" fmla="*/ 405000 w 450000"/>
                <a:gd name="connsiteY14" fmla="*/ 270000 h 315000"/>
                <a:gd name="connsiteX15" fmla="*/ 225000 w 450000"/>
                <a:gd name="connsiteY15" fmla="*/ 270000 h 315000"/>
                <a:gd name="connsiteX16" fmla="*/ 45000 w 450000"/>
                <a:gd name="connsiteY16" fmla="*/ 270000 h 315000"/>
                <a:gd name="connsiteX17" fmla="*/ 45000 w 450000"/>
                <a:gd name="connsiteY17" fmla="*/ 225000 h 315000"/>
                <a:gd name="connsiteX18" fmla="*/ 54000 w 450000"/>
                <a:gd name="connsiteY18" fmla="*/ 207000 h 315000"/>
                <a:gd name="connsiteX19" fmla="*/ 97875 w 450000"/>
                <a:gd name="connsiteY19" fmla="*/ 185625 h 315000"/>
                <a:gd name="connsiteX20" fmla="*/ 135000 w 450000"/>
                <a:gd name="connsiteY20" fmla="*/ 180000 h 315000"/>
                <a:gd name="connsiteX21" fmla="*/ 172125 w 450000"/>
                <a:gd name="connsiteY21" fmla="*/ 185625 h 315000"/>
                <a:gd name="connsiteX22" fmla="*/ 216000 w 450000"/>
                <a:gd name="connsiteY22" fmla="*/ 207000 h 315000"/>
                <a:gd name="connsiteX23" fmla="*/ 225000 w 450000"/>
                <a:gd name="connsiteY23" fmla="*/ 225000 h 315000"/>
                <a:gd name="connsiteX24" fmla="*/ 225000 w 450000"/>
                <a:gd name="connsiteY24" fmla="*/ 270000 h 315000"/>
                <a:gd name="connsiteX25" fmla="*/ 135000 w 450000"/>
                <a:gd name="connsiteY25" fmla="*/ 78750 h 315000"/>
                <a:gd name="connsiteX26" fmla="*/ 180000 w 450000"/>
                <a:gd name="connsiteY26" fmla="*/ 123750 h 315000"/>
                <a:gd name="connsiteX27" fmla="*/ 135000 w 450000"/>
                <a:gd name="connsiteY27" fmla="*/ 168750 h 315000"/>
                <a:gd name="connsiteX28" fmla="*/ 90000 w 450000"/>
                <a:gd name="connsiteY28" fmla="*/ 123750 h 315000"/>
                <a:gd name="connsiteX29" fmla="*/ 135000 w 450000"/>
                <a:gd name="connsiteY29" fmla="*/ 78750 h 315000"/>
                <a:gd name="connsiteX30" fmla="*/ 427500 w 450000"/>
                <a:gd name="connsiteY30" fmla="*/ 0 h 315000"/>
                <a:gd name="connsiteX31" fmla="*/ 281250 w 450000"/>
                <a:gd name="connsiteY31" fmla="*/ 0 h 315000"/>
                <a:gd name="connsiteX32" fmla="*/ 236250 w 450000"/>
                <a:gd name="connsiteY32" fmla="*/ 45000 h 315000"/>
                <a:gd name="connsiteX33" fmla="*/ 213750 w 450000"/>
                <a:gd name="connsiteY33" fmla="*/ 45000 h 315000"/>
                <a:gd name="connsiteX34" fmla="*/ 168750 w 450000"/>
                <a:gd name="connsiteY34" fmla="*/ 0 h 315000"/>
                <a:gd name="connsiteX35" fmla="*/ 22500 w 450000"/>
                <a:gd name="connsiteY35" fmla="*/ 0 h 315000"/>
                <a:gd name="connsiteX36" fmla="*/ 0 w 450000"/>
                <a:gd name="connsiteY36" fmla="*/ 22500 h 315000"/>
                <a:gd name="connsiteX37" fmla="*/ 0 w 450000"/>
                <a:gd name="connsiteY37" fmla="*/ 292500 h 315000"/>
                <a:gd name="connsiteX38" fmla="*/ 22500 w 450000"/>
                <a:gd name="connsiteY38" fmla="*/ 315000 h 315000"/>
                <a:gd name="connsiteX39" fmla="*/ 427500 w 450000"/>
                <a:gd name="connsiteY39" fmla="*/ 315000 h 315000"/>
                <a:gd name="connsiteX40" fmla="*/ 450000 w 450000"/>
                <a:gd name="connsiteY40" fmla="*/ 292500 h 315000"/>
                <a:gd name="connsiteX41" fmla="*/ 450000 w 450000"/>
                <a:gd name="connsiteY41" fmla="*/ 22500 h 315000"/>
                <a:gd name="connsiteX42" fmla="*/ 427500 w 450000"/>
                <a:gd name="connsiteY42" fmla="*/ 0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  <a:cxn ang="0">
                  <a:pos x="connsiteX27" y="connsiteY27"/>
                </a:cxn>
                <a:cxn ang="0">
                  <a:pos x="connsiteX28" y="connsiteY28"/>
                </a:cxn>
                <a:cxn ang="0">
                  <a:pos x="connsiteX29" y="connsiteY29"/>
                </a:cxn>
                <a:cxn ang="0">
                  <a:pos x="connsiteX30" y="connsiteY30"/>
                </a:cxn>
                <a:cxn ang="0">
                  <a:pos x="connsiteX31" y="connsiteY31"/>
                </a:cxn>
                <a:cxn ang="0">
                  <a:pos x="connsiteX32" y="connsiteY32"/>
                </a:cxn>
                <a:cxn ang="0">
                  <a:pos x="connsiteX33" y="connsiteY33"/>
                </a:cxn>
                <a:cxn ang="0">
                  <a:pos x="connsiteX34" y="connsiteY34"/>
                </a:cxn>
                <a:cxn ang="0">
                  <a:pos x="connsiteX35" y="connsiteY35"/>
                </a:cxn>
                <a:cxn ang="0">
                  <a:pos x="connsiteX36" y="connsiteY36"/>
                </a:cxn>
                <a:cxn ang="0">
                  <a:pos x="connsiteX37" y="connsiteY37"/>
                </a:cxn>
                <a:cxn ang="0">
                  <a:pos x="connsiteX38" y="connsiteY38"/>
                </a:cxn>
                <a:cxn ang="0">
                  <a:pos x="connsiteX39" y="connsiteY39"/>
                </a:cxn>
                <a:cxn ang="0">
                  <a:pos x="connsiteX40" y="connsiteY40"/>
                </a:cxn>
                <a:cxn ang="0">
                  <a:pos x="connsiteX41" y="connsiteY41"/>
                </a:cxn>
                <a:cxn ang="0">
                  <a:pos x="connsiteX42" y="connsiteY42"/>
                </a:cxn>
              </a:cxnLst>
              <a:rect l="l" t="t" r="r" b="b"/>
              <a:pathLst>
                <a:path w="450000" h="315000">
                  <a:moveTo>
                    <a:pt x="405000" y="135000"/>
                  </a:moveTo>
                  <a:lnTo>
                    <a:pt x="270000" y="135000"/>
                  </a:lnTo>
                  <a:lnTo>
                    <a:pt x="270000" y="112500"/>
                  </a:lnTo>
                  <a:lnTo>
                    <a:pt x="405000" y="112500"/>
                  </a:lnTo>
                  <a:lnTo>
                    <a:pt x="405000" y="135000"/>
                  </a:lnTo>
                  <a:close/>
                  <a:moveTo>
                    <a:pt x="405000" y="202500"/>
                  </a:moveTo>
                  <a:lnTo>
                    <a:pt x="270000" y="202500"/>
                  </a:lnTo>
                  <a:lnTo>
                    <a:pt x="270000" y="180000"/>
                  </a:lnTo>
                  <a:lnTo>
                    <a:pt x="405000" y="180000"/>
                  </a:lnTo>
                  <a:lnTo>
                    <a:pt x="405000" y="202500"/>
                  </a:lnTo>
                  <a:close/>
                  <a:moveTo>
                    <a:pt x="405000" y="270000"/>
                  </a:moveTo>
                  <a:lnTo>
                    <a:pt x="270000" y="270000"/>
                  </a:lnTo>
                  <a:lnTo>
                    <a:pt x="270000" y="247500"/>
                  </a:lnTo>
                  <a:lnTo>
                    <a:pt x="405000" y="247500"/>
                  </a:lnTo>
                  <a:lnTo>
                    <a:pt x="405000" y="270000"/>
                  </a:lnTo>
                  <a:close/>
                  <a:moveTo>
                    <a:pt x="225000" y="270000"/>
                  </a:moveTo>
                  <a:lnTo>
                    <a:pt x="45000" y="270000"/>
                  </a:lnTo>
                  <a:lnTo>
                    <a:pt x="45000" y="225000"/>
                  </a:lnTo>
                  <a:cubicBezTo>
                    <a:pt x="45000" y="218250"/>
                    <a:pt x="48375" y="211500"/>
                    <a:pt x="54000" y="207000"/>
                  </a:cubicBezTo>
                  <a:cubicBezTo>
                    <a:pt x="66375" y="198000"/>
                    <a:pt x="82125" y="190125"/>
                    <a:pt x="97875" y="185625"/>
                  </a:cubicBezTo>
                  <a:cubicBezTo>
                    <a:pt x="110250" y="182250"/>
                    <a:pt x="122625" y="180000"/>
                    <a:pt x="135000" y="180000"/>
                  </a:cubicBezTo>
                  <a:cubicBezTo>
                    <a:pt x="148500" y="180000"/>
                    <a:pt x="160875" y="182250"/>
                    <a:pt x="172125" y="185625"/>
                  </a:cubicBezTo>
                  <a:cubicBezTo>
                    <a:pt x="187875" y="190125"/>
                    <a:pt x="203625" y="196875"/>
                    <a:pt x="216000" y="207000"/>
                  </a:cubicBezTo>
                  <a:cubicBezTo>
                    <a:pt x="221625" y="211500"/>
                    <a:pt x="225000" y="218250"/>
                    <a:pt x="225000" y="225000"/>
                  </a:cubicBezTo>
                  <a:lnTo>
                    <a:pt x="225000" y="270000"/>
                  </a:lnTo>
                  <a:close/>
                  <a:moveTo>
                    <a:pt x="135000" y="78750"/>
                  </a:moveTo>
                  <a:cubicBezTo>
                    <a:pt x="159750" y="78750"/>
                    <a:pt x="180000" y="99000"/>
                    <a:pt x="180000" y="123750"/>
                  </a:cubicBezTo>
                  <a:cubicBezTo>
                    <a:pt x="180000" y="148500"/>
                    <a:pt x="159750" y="168750"/>
                    <a:pt x="135000" y="168750"/>
                  </a:cubicBezTo>
                  <a:cubicBezTo>
                    <a:pt x="110250" y="168750"/>
                    <a:pt x="90000" y="148500"/>
                    <a:pt x="90000" y="123750"/>
                  </a:cubicBezTo>
                  <a:cubicBezTo>
                    <a:pt x="90000" y="99000"/>
                    <a:pt x="110250" y="78750"/>
                    <a:pt x="135000" y="78750"/>
                  </a:cubicBezTo>
                  <a:close/>
                  <a:moveTo>
                    <a:pt x="427500" y="0"/>
                  </a:moveTo>
                  <a:lnTo>
                    <a:pt x="281250" y="0"/>
                  </a:lnTo>
                  <a:cubicBezTo>
                    <a:pt x="281250" y="24750"/>
                    <a:pt x="261000" y="45000"/>
                    <a:pt x="236250" y="45000"/>
                  </a:cubicBezTo>
                  <a:lnTo>
                    <a:pt x="213750" y="45000"/>
                  </a:lnTo>
                  <a:cubicBezTo>
                    <a:pt x="189000" y="45000"/>
                    <a:pt x="168750" y="24750"/>
                    <a:pt x="168750" y="0"/>
                  </a:cubicBezTo>
                  <a:lnTo>
                    <a:pt x="22500" y="0"/>
                  </a:lnTo>
                  <a:cubicBezTo>
                    <a:pt x="10125" y="0"/>
                    <a:pt x="0" y="10125"/>
                    <a:pt x="0" y="22500"/>
                  </a:cubicBezTo>
                  <a:lnTo>
                    <a:pt x="0" y="292500"/>
                  </a:lnTo>
                  <a:cubicBezTo>
                    <a:pt x="0" y="304875"/>
                    <a:pt x="10125" y="315000"/>
                    <a:pt x="22500" y="315000"/>
                  </a:cubicBezTo>
                  <a:lnTo>
                    <a:pt x="427500" y="315000"/>
                  </a:lnTo>
                  <a:cubicBezTo>
                    <a:pt x="439875" y="315000"/>
                    <a:pt x="450000" y="304875"/>
                    <a:pt x="450000" y="292500"/>
                  </a:cubicBezTo>
                  <a:lnTo>
                    <a:pt x="450000" y="22500"/>
                  </a:lnTo>
                  <a:cubicBezTo>
                    <a:pt x="450000" y="10125"/>
                    <a:pt x="439875" y="0"/>
                    <a:pt x="427500" y="0"/>
                  </a:cubicBez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  <xdr:sp macro="[0]!Show_Email" textlink="">
        <xdr:nvSpPr>
          <xdr:cNvPr id="1109" name="Graphic 25" descr="Envelope" hidden="1">
            <a:extLst>
              <a:ext uri="{FF2B5EF4-FFF2-40B4-BE49-F238E27FC236}">
                <a16:creationId xmlns:a16="http://schemas.microsoft.com/office/drawing/2014/main" id="{00000000-0008-0000-0000-000055040000}"/>
              </a:ext>
            </a:extLst>
          </xdr:cNvPr>
          <xdr:cNvSpPr/>
        </xdr:nvSpPr>
        <xdr:spPr>
          <a:xfrm>
            <a:off x="6495750" y="2096025"/>
            <a:ext cx="450000" cy="315000"/>
          </a:xfrm>
          <a:custGeom>
            <a:avLst/>
            <a:gdLst>
              <a:gd name="connsiteX0" fmla="*/ 0 w 450000"/>
              <a:gd name="connsiteY0" fmla="*/ 0 h 315000"/>
              <a:gd name="connsiteX1" fmla="*/ 0 w 450000"/>
              <a:gd name="connsiteY1" fmla="*/ 315000 h 315000"/>
              <a:gd name="connsiteX2" fmla="*/ 450000 w 450000"/>
              <a:gd name="connsiteY2" fmla="*/ 315000 h 315000"/>
              <a:gd name="connsiteX3" fmla="*/ 450000 w 450000"/>
              <a:gd name="connsiteY3" fmla="*/ 0 h 315000"/>
              <a:gd name="connsiteX4" fmla="*/ 0 w 450000"/>
              <a:gd name="connsiteY4" fmla="*/ 0 h 315000"/>
              <a:gd name="connsiteX5" fmla="*/ 232875 w 450000"/>
              <a:gd name="connsiteY5" fmla="*/ 196313 h 315000"/>
              <a:gd name="connsiteX6" fmla="*/ 217125 w 450000"/>
              <a:gd name="connsiteY6" fmla="*/ 196313 h 315000"/>
              <a:gd name="connsiteX7" fmla="*/ 50625 w 450000"/>
              <a:gd name="connsiteY7" fmla="*/ 33750 h 315000"/>
              <a:gd name="connsiteX8" fmla="*/ 399938 w 450000"/>
              <a:gd name="connsiteY8" fmla="*/ 33750 h 315000"/>
              <a:gd name="connsiteX9" fmla="*/ 232875 w 450000"/>
              <a:gd name="connsiteY9" fmla="*/ 196313 h 315000"/>
              <a:gd name="connsiteX10" fmla="*/ 143438 w 450000"/>
              <a:gd name="connsiteY10" fmla="*/ 155813 h 315000"/>
              <a:gd name="connsiteX11" fmla="*/ 33750 w 450000"/>
              <a:gd name="connsiteY11" fmla="*/ 266063 h 315000"/>
              <a:gd name="connsiteX12" fmla="*/ 33750 w 450000"/>
              <a:gd name="connsiteY12" fmla="*/ 48375 h 315000"/>
              <a:gd name="connsiteX13" fmla="*/ 143438 w 450000"/>
              <a:gd name="connsiteY13" fmla="*/ 155813 h 315000"/>
              <a:gd name="connsiteX14" fmla="*/ 159750 w 450000"/>
              <a:gd name="connsiteY14" fmla="*/ 171563 h 315000"/>
              <a:gd name="connsiteX15" fmla="*/ 201938 w 450000"/>
              <a:gd name="connsiteY15" fmla="*/ 212625 h 315000"/>
              <a:gd name="connsiteX16" fmla="*/ 225562 w 450000"/>
              <a:gd name="connsiteY16" fmla="*/ 222188 h 315000"/>
              <a:gd name="connsiteX17" fmla="*/ 249188 w 450000"/>
              <a:gd name="connsiteY17" fmla="*/ 212625 h 315000"/>
              <a:gd name="connsiteX18" fmla="*/ 291375 w 450000"/>
              <a:gd name="connsiteY18" fmla="*/ 171563 h 315000"/>
              <a:gd name="connsiteX19" fmla="*/ 400500 w 450000"/>
              <a:gd name="connsiteY19" fmla="*/ 281250 h 315000"/>
              <a:gd name="connsiteX20" fmla="*/ 50062 w 450000"/>
              <a:gd name="connsiteY20" fmla="*/ 281250 h 315000"/>
              <a:gd name="connsiteX21" fmla="*/ 159750 w 450000"/>
              <a:gd name="connsiteY21" fmla="*/ 171563 h 315000"/>
              <a:gd name="connsiteX22" fmla="*/ 306563 w 450000"/>
              <a:gd name="connsiteY22" fmla="*/ 155813 h 315000"/>
              <a:gd name="connsiteX23" fmla="*/ 416250 w 450000"/>
              <a:gd name="connsiteY23" fmla="*/ 48938 h 315000"/>
              <a:gd name="connsiteX24" fmla="*/ 416250 w 450000"/>
              <a:gd name="connsiteY24" fmla="*/ 265500 h 315000"/>
              <a:gd name="connsiteX25" fmla="*/ 306563 w 450000"/>
              <a:gd name="connsiteY25" fmla="*/ 155813 h 3150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450000" h="315000">
                <a:moveTo>
                  <a:pt x="0" y="0"/>
                </a:moveTo>
                <a:lnTo>
                  <a:pt x="0" y="315000"/>
                </a:lnTo>
                <a:lnTo>
                  <a:pt x="450000" y="315000"/>
                </a:lnTo>
                <a:lnTo>
                  <a:pt x="450000" y="0"/>
                </a:lnTo>
                <a:lnTo>
                  <a:pt x="0" y="0"/>
                </a:lnTo>
                <a:close/>
                <a:moveTo>
                  <a:pt x="232875" y="196313"/>
                </a:moveTo>
                <a:cubicBezTo>
                  <a:pt x="228375" y="200813"/>
                  <a:pt x="221625" y="200813"/>
                  <a:pt x="217125" y="196313"/>
                </a:cubicBezTo>
                <a:lnTo>
                  <a:pt x="50625" y="33750"/>
                </a:lnTo>
                <a:lnTo>
                  <a:pt x="399938" y="33750"/>
                </a:lnTo>
                <a:lnTo>
                  <a:pt x="232875" y="196313"/>
                </a:lnTo>
                <a:close/>
                <a:moveTo>
                  <a:pt x="143438" y="155813"/>
                </a:moveTo>
                <a:lnTo>
                  <a:pt x="33750" y="266063"/>
                </a:lnTo>
                <a:lnTo>
                  <a:pt x="33750" y="48375"/>
                </a:lnTo>
                <a:lnTo>
                  <a:pt x="143438" y="155813"/>
                </a:lnTo>
                <a:close/>
                <a:moveTo>
                  <a:pt x="159750" y="171563"/>
                </a:moveTo>
                <a:lnTo>
                  <a:pt x="201938" y="212625"/>
                </a:lnTo>
                <a:cubicBezTo>
                  <a:pt x="208687" y="218813"/>
                  <a:pt x="217125" y="222188"/>
                  <a:pt x="225562" y="222188"/>
                </a:cubicBezTo>
                <a:cubicBezTo>
                  <a:pt x="234000" y="222188"/>
                  <a:pt x="242437" y="218813"/>
                  <a:pt x="249188" y="212625"/>
                </a:cubicBezTo>
                <a:lnTo>
                  <a:pt x="291375" y="171563"/>
                </a:lnTo>
                <a:lnTo>
                  <a:pt x="400500" y="281250"/>
                </a:lnTo>
                <a:lnTo>
                  <a:pt x="50062" y="281250"/>
                </a:lnTo>
                <a:lnTo>
                  <a:pt x="159750" y="171563"/>
                </a:lnTo>
                <a:close/>
                <a:moveTo>
                  <a:pt x="306563" y="155813"/>
                </a:moveTo>
                <a:lnTo>
                  <a:pt x="416250" y="48938"/>
                </a:lnTo>
                <a:lnTo>
                  <a:pt x="416250" y="265500"/>
                </a:lnTo>
                <a:lnTo>
                  <a:pt x="306563" y="155813"/>
                </a:lnTo>
                <a:close/>
              </a:path>
            </a:pathLst>
          </a:custGeom>
          <a:solidFill>
            <a:schemeClr val="bg1"/>
          </a:solidFill>
          <a:ln w="5556" cap="flat">
            <a:noFill/>
            <a:prstDash val="solid"/>
            <a:miter/>
          </a:ln>
        </xdr:spPr>
        <xdr:txBody>
          <a:bodyPr rtlCol="0" anchor="ctr"/>
          <a:lstStyle/>
          <a:p>
            <a:endParaRPr lang="en-CA"/>
          </a:p>
        </xdr:txBody>
      </xdr:sp>
      <xdr:pic macro="[0]!Show_Email">
        <xdr:nvPicPr>
          <xdr:cNvPr id="27" name="Graphic 26" descr="Envelope" hidden="1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7600949" y="1000124"/>
            <a:ext cx="1260000" cy="126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1</xdr:colOff>
      <xdr:row>0</xdr:row>
      <xdr:rowOff>123825</xdr:rowOff>
    </xdr:from>
    <xdr:to>
      <xdr:col>45</xdr:col>
      <xdr:colOff>1391557</xdr:colOff>
      <xdr:row>14</xdr:row>
      <xdr:rowOff>180975</xdr:rowOff>
    </xdr:to>
    <xdr:grpSp>
      <xdr:nvGrpSpPr>
        <xdr:cNvPr id="1147" name="ReminderGrp" hidden="1">
          <a:extLst>
            <a:ext uri="{FF2B5EF4-FFF2-40B4-BE49-F238E27FC236}">
              <a16:creationId xmlns:a16="http://schemas.microsoft.com/office/drawing/2014/main" id="{00000000-0008-0000-0000-00007B040000}"/>
            </a:ext>
          </a:extLst>
        </xdr:cNvPr>
        <xdr:cNvGrpSpPr/>
      </xdr:nvGrpSpPr>
      <xdr:grpSpPr>
        <a:xfrm>
          <a:off x="10553700" y="123825"/>
          <a:ext cx="0" cy="3571875"/>
          <a:chOff x="34290011" y="123825"/>
          <a:chExt cx="6344546" cy="3571875"/>
        </a:xfrm>
      </xdr:grpSpPr>
      <xdr:grpSp>
        <xdr:nvGrpSpPr>
          <xdr:cNvPr id="1077" name="HomeButton" hidden="1">
            <a:extLst>
              <a:ext uri="{FF2B5EF4-FFF2-40B4-BE49-F238E27FC236}">
                <a16:creationId xmlns:a16="http://schemas.microsoft.com/office/drawing/2014/main" id="{00000000-0008-0000-0000-000035040000}"/>
              </a:ext>
            </a:extLst>
          </xdr:cNvPr>
          <xdr:cNvGrpSpPr/>
        </xdr:nvGrpSpPr>
        <xdr:grpSpPr>
          <a:xfrm>
            <a:off x="34528131" y="228600"/>
            <a:ext cx="660814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78" name="Rectangle 1077" hidden="1">
              <a:extLs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79" name="Graphic 1078" descr="House" hidden="1">
              <a:extLs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80" name="Rectangle 1079" hidden="1">
            <a:extLst>
              <a:ext uri="{FF2B5EF4-FFF2-40B4-BE49-F238E27FC236}">
                <a16:creationId xmlns:a16="http://schemas.microsoft.com/office/drawing/2014/main" id="{00000000-0008-0000-0000-000038040000}"/>
              </a:ext>
            </a:extLst>
          </xdr:cNvPr>
          <xdr:cNvSpPr/>
        </xdr:nvSpPr>
        <xdr:spPr>
          <a:xfrm>
            <a:off x="37950484" y="2717298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no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List Box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34290011" y="1200150"/>
                <a:ext cx="1309014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93" name="Group 1092" hidden="1">
            <a:extLst>
              <a:ext uri="{FF2B5EF4-FFF2-40B4-BE49-F238E27FC236}">
                <a16:creationId xmlns:a16="http://schemas.microsoft.com/office/drawing/2014/main" id="{00000000-0008-0000-0000-000045040000}"/>
              </a:ext>
            </a:extLst>
          </xdr:cNvPr>
          <xdr:cNvGrpSpPr/>
        </xdr:nvGrpSpPr>
        <xdr:grpSpPr>
          <a:xfrm>
            <a:off x="37848550" y="971550"/>
            <a:ext cx="2786007" cy="247467"/>
            <a:chOff x="38886775" y="981075"/>
            <a:chExt cx="2786007" cy="247467"/>
          </a:xfrm>
        </xdr:grpSpPr>
        <xdr:sp macro="[1]!Contact_Save" textlink="">
          <xdr:nvSpPr>
            <xdr:cNvPr id="1084" name="Rectangle 1083" hidden="1">
              <a:extLs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1085" name="Rectangle 1084" hidden="1">
              <a:extLs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087" name="Picture 1086" hidden="1">
              <a:extLs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088" name="Picture 1087" hidden="1">
              <a:extLs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1094" name="Graphic 1093" descr="Daily calendar" hidden="1">
            <a:extLst>
              <a:ext uri="{FF2B5EF4-FFF2-40B4-BE49-F238E27FC236}">
                <a16:creationId xmlns:a16="http://schemas.microsoft.com/office/drawing/2014/main" id="{00000000-0008-0000-0000-000046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559350" y="1238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26</xdr:col>
      <xdr:colOff>0</xdr:colOff>
      <xdr:row>0</xdr:row>
      <xdr:rowOff>152400</xdr:rowOff>
    </xdr:from>
    <xdr:to>
      <xdr:col>31</xdr:col>
      <xdr:colOff>1543957</xdr:colOff>
      <xdr:row>14</xdr:row>
      <xdr:rowOff>190500</xdr:rowOff>
    </xdr:to>
    <xdr:grpSp>
      <xdr:nvGrpSpPr>
        <xdr:cNvPr id="1114" name="DocGrp" hidden="1">
          <a:extLst>
            <a:ext uri="{FF2B5EF4-FFF2-40B4-BE49-F238E27FC236}">
              <a16:creationId xmlns:a16="http://schemas.microsoft.com/office/drawing/2014/main" id="{00000000-0008-0000-0000-00005A040000}"/>
            </a:ext>
          </a:extLst>
        </xdr:cNvPr>
        <xdr:cNvGrpSpPr/>
      </xdr:nvGrpSpPr>
      <xdr:grpSpPr>
        <a:xfrm>
          <a:off x="10553700" y="152400"/>
          <a:ext cx="0" cy="3552825"/>
          <a:chOff x="22012275" y="152400"/>
          <a:chExt cx="6496957" cy="3552825"/>
        </a:xfrm>
      </xdr:grpSpPr>
      <xdr:grpSp>
        <xdr:nvGrpSpPr>
          <xdr:cNvPr id="1058" name="HomeButton" hidden="1">
            <a:extLst>
              <a:ext uri="{FF2B5EF4-FFF2-40B4-BE49-F238E27FC236}">
                <a16:creationId xmlns:a16="http://schemas.microsoft.com/office/drawing/2014/main" id="{00000000-0008-0000-0000-000022040000}"/>
              </a:ext>
            </a:extLst>
          </xdr:cNvPr>
          <xdr:cNvGrpSpPr/>
        </xdr:nvGrpSpPr>
        <xdr:grpSpPr>
          <a:xfrm>
            <a:off x="22221825" y="238125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1059" name="Rectangle 1058" hidden="1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60" name="Graphic 1059" descr="House" hidden="1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" textlink="">
        <xdr:nvSpPr>
          <xdr:cNvPr id="1061" name="Rectangle 1060" hidden="1">
            <a:extLst>
              <a:ext uri="{FF2B5EF4-FFF2-40B4-BE49-F238E27FC236}">
                <a16:creationId xmlns:a16="http://schemas.microsoft.com/office/drawing/2014/main" id="{00000000-0008-0000-0000-000025040000}"/>
              </a:ext>
            </a:extLst>
          </xdr:cNvPr>
          <xdr:cNvSpPr/>
        </xdr:nvSpPr>
        <xdr:spPr>
          <a:xfrm>
            <a:off x="25644184" y="2726823"/>
            <a:ext cx="184731" cy="937629"/>
          </a:xfrm>
          <a:prstGeom prst="rect">
            <a:avLst/>
          </a:prstGeom>
          <a:noFill/>
        </xdr:spPr>
        <xdr:txBody>
          <a:bodyPr wrap="none" lIns="91440" tIns="45720" rIns="91440" bIns="45720">
            <a:spAutoFit/>
          </a:bodyPr>
          <a:lstStyle/>
          <a:p>
            <a:pPr algn="ctr"/>
            <a:endParaRPr lang="en-US" sz="54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7" name="List Box 13" hidden="1">
                <a:extLst>
                  <a:ext uri="{63B3BB69-23CF-44E3-9099-C40C66FF867C}">
                    <a14:compatExt spid="_x0000_s1037"/>
                  </a:ext>
                  <a:ext uri="{FF2B5EF4-FFF2-40B4-BE49-F238E27FC236}">
                    <a16:creationId xmlns:a16="http://schemas.microsoft.com/office/drawing/2014/main" id="{00000000-0008-0000-0000-00000D040000}"/>
                  </a:ext>
                </a:extLst>
              </xdr:cNvPr>
              <xdr:cNvSpPr/>
            </xdr:nvSpPr>
            <xdr:spPr bwMode="auto">
              <a:xfrm>
                <a:off x="22012275" y="1209675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74" name="Group 1073" hidden="1">
            <a:extLst>
              <a:ext uri="{FF2B5EF4-FFF2-40B4-BE49-F238E27FC236}">
                <a16:creationId xmlns:a16="http://schemas.microsoft.com/office/drawing/2014/main" id="{00000000-0008-0000-0000-000032040000}"/>
              </a:ext>
            </a:extLst>
          </xdr:cNvPr>
          <xdr:cNvGrpSpPr/>
        </xdr:nvGrpSpPr>
        <xdr:grpSpPr>
          <a:xfrm>
            <a:off x="25723225" y="971550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063" name="Rectangle 1062" hidden="1">
              <a:extLs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066" name="Rectangle 1065" hidden="1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070" name="Graphic 1069" descr="Open folder" hidden="1">
              <a:extLs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073" name="Picture 1072" hidden="1">
              <a:extLs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095" name="Graphic 1094" descr="Open folder" hidden="1">
            <a:extLst>
              <a:ext uri="{FF2B5EF4-FFF2-40B4-BE49-F238E27FC236}">
                <a16:creationId xmlns:a16="http://schemas.microsoft.com/office/drawing/2014/main" id="{00000000-0008-0000-0000-000047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81600" y="152400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372386</xdr:colOff>
      <xdr:row>0</xdr:row>
      <xdr:rowOff>38100</xdr:rowOff>
    </xdr:from>
    <xdr:to>
      <xdr:col>17</xdr:col>
      <xdr:colOff>1333959</xdr:colOff>
      <xdr:row>0</xdr:row>
      <xdr:rowOff>1010100</xdr:rowOff>
    </xdr:to>
    <xdr:pic>
      <xdr:nvPicPr>
        <xdr:cNvPr id="1096" name="Graphic 1095" descr="Envelope">
          <a:extLst>
            <a:ext uri="{FF2B5EF4-FFF2-40B4-BE49-F238E27FC236}">
              <a16:creationId xmlns:a16="http://schemas.microsoft.com/office/drawing/2014/main" id="{00000000-0008-0000-0000-000048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9"/>
            </a:ext>
          </a:extLst>
        </a:blip>
        <a:stretch>
          <a:fillRect/>
        </a:stretch>
      </xdr:blipFill>
      <xdr:spPr>
        <a:xfrm>
          <a:off x="14364611" y="38100"/>
          <a:ext cx="961573" cy="972000"/>
        </a:xfrm>
        <a:prstGeom prst="rect">
          <a:avLst/>
        </a:prstGeom>
      </xdr:spPr>
    </xdr:pic>
    <xdr:clientData/>
  </xdr:twoCellAnchor>
  <xdr:twoCellAnchor>
    <xdr:from>
      <xdr:col>3</xdr:col>
      <xdr:colOff>0</xdr:colOff>
      <xdr:row>0</xdr:row>
      <xdr:rowOff>0</xdr:rowOff>
    </xdr:from>
    <xdr:to>
      <xdr:col>9</xdr:col>
      <xdr:colOff>1857</xdr:colOff>
      <xdr:row>15</xdr:row>
      <xdr:rowOff>0</xdr:rowOff>
    </xdr:to>
    <xdr:grpSp>
      <xdr:nvGrpSpPr>
        <xdr:cNvPr id="1158" name="ContactGrp">
          <a:extLst>
            <a:ext uri="{FF2B5EF4-FFF2-40B4-BE49-F238E27FC236}">
              <a16:creationId xmlns:a16="http://schemas.microsoft.com/office/drawing/2014/main" id="{00000000-0008-0000-0000-000086040000}"/>
            </a:ext>
          </a:extLst>
        </xdr:cNvPr>
        <xdr:cNvGrpSpPr/>
      </xdr:nvGrpSpPr>
      <xdr:grpSpPr>
        <a:xfrm>
          <a:off x="2343150" y="0"/>
          <a:ext cx="6764607" cy="3714750"/>
          <a:chOff x="2343150" y="0"/>
          <a:chExt cx="6583632" cy="3714750"/>
        </a:xfrm>
      </xdr:grpSpPr>
      <xdr:grpSp>
        <xdr:nvGrpSpPr>
          <xdr:cNvPr id="57" name="HomeButton">
            <a:extLst>
              <a:ext uri="{FF2B5EF4-FFF2-40B4-BE49-F238E27FC236}">
                <a16:creationId xmlns:a16="http://schemas.microsoft.com/office/drawing/2014/main" id="{00000000-0008-0000-0000-000039000000}"/>
              </a:ext>
            </a:extLst>
          </xdr:cNvPr>
          <xdr:cNvGrpSpPr/>
        </xdr:nvGrpSpPr>
        <xdr:grpSpPr>
          <a:xfrm>
            <a:off x="2553007" y="238125"/>
            <a:ext cx="686804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" textlink="">
          <xdr:nvSpPr>
            <xdr:cNvPr id="58" name="Rectangle 57">
              <a:extLst>
                <a:ext uri="{FF2B5EF4-FFF2-40B4-BE49-F238E27FC236}">
                  <a16:creationId xmlns:a16="http://schemas.microsoft.com/office/drawing/2014/main" id="{00000000-0008-0000-0000-00003A00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59" name="Graphic 58" descr="House">
              <a:extLst>
                <a:ext uri="{FF2B5EF4-FFF2-40B4-BE49-F238E27FC236}">
                  <a16:creationId xmlns:a16="http://schemas.microsoft.com/office/drawing/2014/main" id="{00000000-0008-0000-0000-00003B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xdr:sp macro="[1]!Contact_Save" textlink="">
        <xdr:nvSpPr>
          <xdr:cNvPr id="51" name="Rectangle 50">
            <a:extLst>
              <a:ext uri="{FF2B5EF4-FFF2-40B4-BE49-F238E27FC236}">
                <a16:creationId xmlns:a16="http://schemas.microsoft.com/office/drawing/2014/main" id="{00000000-0008-0000-0000-000033000000}"/>
              </a:ext>
            </a:extLst>
          </xdr:cNvPr>
          <xdr:cNvSpPr/>
        </xdr:nvSpPr>
        <xdr:spPr>
          <a:xfrm>
            <a:off x="6626136" y="981075"/>
            <a:ext cx="1069417" cy="247467"/>
          </a:xfrm>
          <a:prstGeom prst="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0"/>
          <a:lstStyle/>
          <a:p>
            <a:pPr algn="r"/>
            <a:r>
              <a:rPr lang="en-US" sz="1100" b="1"/>
              <a:t>Save Contact</a:t>
            </a:r>
          </a:p>
        </xdr:txBody>
      </xdr:sp>
      <xdr:pic macro="[1]!Contact_Save">
        <xdr:nvPicPr>
          <xdr:cNvPr id="52" name="Picture 51">
            <a:extLst>
              <a:ext uri="{FF2B5EF4-FFF2-40B4-BE49-F238E27FC236}">
                <a16:creationId xmlns:a16="http://schemas.microsoft.com/office/drawing/2014/main" id="{00000000-0008-0000-0000-00003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4291" y="1000125"/>
            <a:ext cx="189799" cy="201019"/>
          </a:xfrm>
          <a:prstGeom prst="rect">
            <a:avLst/>
          </a:prstGeom>
        </xdr:spPr>
      </xdr:pic>
      <xdr:grpSp>
        <xdr:nvGrpSpPr>
          <xdr:cNvPr id="56" name="Group 55">
            <a:extLst>
              <a:ext uri="{FF2B5EF4-FFF2-40B4-BE49-F238E27FC236}">
                <a16:creationId xmlns:a16="http://schemas.microsoft.com/office/drawing/2014/main" id="{00000000-0008-0000-0000-000038000000}"/>
              </a:ext>
            </a:extLst>
          </xdr:cNvPr>
          <xdr:cNvGrpSpPr/>
        </xdr:nvGrpSpPr>
        <xdr:grpSpPr>
          <a:xfrm>
            <a:off x="7789887" y="981075"/>
            <a:ext cx="1069417" cy="247467"/>
            <a:chOff x="7534275" y="981075"/>
            <a:chExt cx="1067854" cy="247467"/>
          </a:xfrm>
        </xdr:grpSpPr>
        <xdr:sp macro="[1]!Contact_New" textlink="">
          <xdr:nvSpPr>
            <xdr:cNvPr id="54" name="Rectangle 53">
              <a:extLst>
                <a:ext uri="{FF2B5EF4-FFF2-40B4-BE49-F238E27FC236}">
                  <a16:creationId xmlns:a16="http://schemas.microsoft.com/office/drawing/2014/main" id="{00000000-0008-0000-0000-000036000000}"/>
                </a:ext>
              </a:extLst>
            </xdr:cNvPr>
            <xdr:cNvSpPr/>
          </xdr:nvSpPr>
          <xdr:spPr>
            <a:xfrm>
              <a:off x="7534275" y="981075"/>
              <a:ext cx="1067854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Conact</a:t>
              </a:r>
            </a:p>
          </xdr:txBody>
        </xdr:sp>
        <xdr:pic macro="[1]!Contact_New">
          <xdr:nvPicPr>
            <xdr:cNvPr id="53" name="Picture 52">
              <a:extLst>
                <a:ext uri="{FF2B5EF4-FFF2-40B4-BE49-F238E27FC236}">
                  <a16:creationId xmlns:a16="http://schemas.microsoft.com/office/drawing/2014/main" id="{00000000-0008-0000-0000-000035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581900" y="1000125"/>
              <a:ext cx="189522" cy="201019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9" name="List Box 5" hidden="1">
                <a:extLst>
                  <a:ext uri="{63B3BB69-23CF-44E3-9099-C40C66FF867C}">
                    <a14:compatExt spid="_x0000_s1029"/>
                  </a:ext>
                  <a:ext uri="{FF2B5EF4-FFF2-40B4-BE49-F238E27FC236}">
                    <a16:creationId xmlns:a16="http://schemas.microsoft.com/office/drawing/2014/main" id="{00000000-0008-0000-0000-000005040000}"/>
                  </a:ext>
                </a:extLst>
              </xdr:cNvPr>
              <xdr:cNvSpPr/>
            </xdr:nvSpPr>
            <xdr:spPr bwMode="auto">
              <a:xfrm>
                <a:off x="2343150" y="1219200"/>
                <a:ext cx="1084611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pic macro="[0]!Show_Contact">
        <xdr:nvPicPr>
          <xdr:cNvPr id="1167" name="Graphic 1166" descr="Employee badge">
            <a:extLst>
              <a:ext uri="{FF2B5EF4-FFF2-40B4-BE49-F238E27FC236}">
                <a16:creationId xmlns:a16="http://schemas.microsoft.com/office/drawing/2014/main" id="{00000000-0008-0000-0000-00008F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4505325" y="0"/>
            <a:ext cx="1080000" cy="1080000"/>
          </a:xfrm>
          <a:prstGeom prst="rect">
            <a:avLst/>
          </a:prstGeom>
        </xdr:spPr>
      </xdr:pic>
      <xdr:grpSp>
        <xdr:nvGrpSpPr>
          <xdr:cNvPr id="1124" name="Group 1123">
            <a:extLst>
              <a:ext uri="{FF2B5EF4-FFF2-40B4-BE49-F238E27FC236}">
                <a16:creationId xmlns:a16="http://schemas.microsoft.com/office/drawing/2014/main" id="{00000000-0008-0000-0000-000064040000}"/>
              </a:ext>
            </a:extLst>
          </xdr:cNvPr>
          <xdr:cNvGrpSpPr/>
        </xdr:nvGrpSpPr>
        <xdr:grpSpPr>
          <a:xfrm>
            <a:off x="7774782" y="971550"/>
            <a:ext cx="1152000" cy="247467"/>
            <a:chOff x="7984332" y="971550"/>
            <a:chExt cx="1152000" cy="247467"/>
          </a:xfrm>
        </xdr:grpSpPr>
        <xdr:sp macro="[1]!Contact_New" textlink="">
          <xdr:nvSpPr>
            <xdr:cNvPr id="26" name="Rectangle 25">
              <a:extLst>
                <a:ext uri="{FF2B5EF4-FFF2-40B4-BE49-F238E27FC236}">
                  <a16:creationId xmlns:a16="http://schemas.microsoft.com/office/drawing/2014/main" id="{00000000-0008-0000-0000-00001A000000}"/>
                </a:ext>
              </a:extLst>
            </xdr:cNvPr>
            <xdr:cNvSpPr/>
          </xdr:nvSpPr>
          <xdr:spPr>
            <a:xfrm>
              <a:off x="7984332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Contact</a:t>
              </a:r>
              <a:endParaRPr lang="en-US" sz="1100" b="1"/>
            </a:p>
          </xdr:txBody>
        </xdr:sp>
        <xdr:pic macro="[1]!Contact_New">
          <xdr:nvPicPr>
            <xdr:cNvPr id="31" name="Picture 30">
              <a:extLst>
                <a:ext uri="{FF2B5EF4-FFF2-40B4-BE49-F238E27FC236}">
                  <a16:creationId xmlns:a16="http://schemas.microsoft.com/office/drawing/2014/main" id="{00000000-0008-0000-0000-00001F00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495" y="1009650"/>
              <a:ext cx="191464" cy="201019"/>
            </a:xfrm>
            <a:prstGeom prst="rect">
              <a:avLst/>
            </a:prstGeom>
          </xdr:spPr>
        </xdr:pic>
      </xdr:grpSp>
      <xdr:grpSp>
        <xdr:nvGrpSpPr>
          <xdr:cNvPr id="1125" name="Group 1124">
            <a:extLst>
              <a:ext uri="{FF2B5EF4-FFF2-40B4-BE49-F238E27FC236}">
                <a16:creationId xmlns:a16="http://schemas.microsoft.com/office/drawing/2014/main" id="{00000000-0008-0000-0000-000065040000}"/>
              </a:ext>
            </a:extLst>
          </xdr:cNvPr>
          <xdr:cNvGrpSpPr/>
        </xdr:nvGrpSpPr>
        <xdr:grpSpPr>
          <a:xfrm>
            <a:off x="6562725" y="971550"/>
            <a:ext cx="1152000" cy="247467"/>
            <a:chOff x="6562725" y="971550"/>
            <a:chExt cx="1152000" cy="247467"/>
          </a:xfrm>
        </xdr:grpSpPr>
        <xdr:sp macro="[1]!Contact_Save" textlink="">
          <xdr:nvSpPr>
            <xdr:cNvPr id="25" name="Rectangle 24">
              <a:extLst>
                <a:ext uri="{FF2B5EF4-FFF2-40B4-BE49-F238E27FC236}">
                  <a16:creationId xmlns:a16="http://schemas.microsoft.com/office/drawing/2014/main" id="{00000000-0008-0000-0000-000019000000}"/>
                </a:ext>
              </a:extLst>
            </xdr:cNvPr>
            <xdr:cNvSpPr/>
          </xdr:nvSpPr>
          <xdr:spPr>
            <a:xfrm>
              <a:off x="6562725" y="971550"/>
              <a:ext cx="11520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Contact</a:t>
              </a:r>
            </a:p>
          </xdr:txBody>
        </xdr:sp>
        <xdr:pic macro="[1]!Contact_Save">
          <xdr:nvPicPr>
            <xdr:cNvPr id="1123" name="Picture 1122">
              <a:extLs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661775" y="990600"/>
              <a:ext cx="189522" cy="201019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3</xdr:col>
      <xdr:colOff>0</xdr:colOff>
      <xdr:row>0</xdr:row>
      <xdr:rowOff>238125</xdr:rowOff>
    </xdr:from>
    <xdr:to>
      <xdr:col>21</xdr:col>
      <xdr:colOff>1295399</xdr:colOff>
      <xdr:row>14</xdr:row>
      <xdr:rowOff>190500</xdr:rowOff>
    </xdr:to>
    <xdr:grpSp>
      <xdr:nvGrpSpPr>
        <xdr:cNvPr id="1025" name="EmailGrp" hidden="1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GrpSpPr/>
      </xdr:nvGrpSpPr>
      <xdr:grpSpPr>
        <a:xfrm>
          <a:off x="2343150" y="238125"/>
          <a:ext cx="8210550" cy="3467100"/>
          <a:chOff x="11591927" y="238125"/>
          <a:chExt cx="8090461" cy="3467100"/>
        </a:xfrm>
      </xdr:grpSpPr>
      <xdr:grpSp>
        <xdr:nvGrpSpPr>
          <xdr:cNvPr id="55" name="Group 54" hidden="1">
            <a:extLst>
              <a:ext uri="{FF2B5EF4-FFF2-40B4-BE49-F238E27FC236}">
                <a16:creationId xmlns:a16="http://schemas.microsoft.com/office/drawing/2014/main" id="{00000000-0008-0000-0000-000037000000}"/>
              </a:ext>
            </a:extLst>
          </xdr:cNvPr>
          <xdr:cNvGrpSpPr/>
        </xdr:nvGrpSpPr>
        <xdr:grpSpPr>
          <a:xfrm>
            <a:off x="11799229" y="238125"/>
            <a:ext cx="680224" cy="590550"/>
            <a:chOff x="11799229" y="238125"/>
            <a:chExt cx="680224" cy="590550"/>
          </a:xfrm>
        </xdr:grpSpPr>
        <xdr:sp macro="[0]!Show_Home" textlink="">
          <xdr:nvSpPr>
            <xdr:cNvPr id="1038" name="Rectangle 1037" hidden="1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>
            <a:xfrm>
              <a:off x="11799229" y="238125"/>
              <a:ext cx="68022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039" name="Graphic 1038" descr="House" hidden="1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1874809" y="247650"/>
              <a:ext cx="535609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List Box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11591927" y="1209675"/>
                <a:ext cx="1071338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" name="List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2000000}"/>
                  </a:ext>
                </a:extLst>
              </xdr:cNvPr>
              <xdr:cNvSpPr/>
            </xdr:nvSpPr>
            <xdr:spPr bwMode="auto">
              <a:xfrm>
                <a:off x="18426335" y="1209675"/>
                <a:ext cx="1256053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024" name="Group 1023" hidden="1">
            <a:extLst>
              <a:ext uri="{FF2B5EF4-FFF2-40B4-BE49-F238E27FC236}">
                <a16:creationId xmlns:a16="http://schemas.microsoft.com/office/drawing/2014/main" id="{00000000-0008-0000-0000-000000040000}"/>
              </a:ext>
            </a:extLst>
          </xdr:cNvPr>
          <xdr:cNvGrpSpPr/>
        </xdr:nvGrpSpPr>
        <xdr:grpSpPr>
          <a:xfrm>
            <a:off x="15875554" y="990600"/>
            <a:ext cx="2209539" cy="247467"/>
            <a:chOff x="15875554" y="990600"/>
            <a:chExt cx="2209539" cy="247467"/>
          </a:xfrm>
        </xdr:grpSpPr>
        <xdr:sp macro="[1]!Contact_Save" textlink="">
          <xdr:nvSpPr>
            <xdr:cNvPr id="1035" name="Rectangle 1034" hidden="1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>
            <a:xfrm>
              <a:off x="15875554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Send Email</a:t>
              </a:r>
            </a:p>
          </xdr:txBody>
        </xdr:sp>
        <xdr:sp macro="[1]!Contact_New" textlink="">
          <xdr:nvSpPr>
            <xdr:cNvPr id="1033" name="Rectangle 1032" hidden="1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>
            <a:xfrm>
              <a:off x="17017868" y="990600"/>
              <a:ext cx="106722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 Email</a:t>
              </a:r>
            </a:p>
          </xdr:txBody>
        </xdr:sp>
        <xdr:pic macro="[1]!Contact_New">
          <xdr:nvPicPr>
            <xdr:cNvPr id="1130" name="Picture 1129" hidden="1">
              <a:extLs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7081195" y="1009650"/>
              <a:ext cx="191464" cy="201019"/>
            </a:xfrm>
            <a:prstGeom prst="rect">
              <a:avLst/>
            </a:prstGeom>
          </xdr:spPr>
        </xdr:pic>
        <xdr:sp macro="[2]!Show_Email" textlink="">
          <xdr:nvSpPr>
            <xdr:cNvPr id="1133" name="Graphic 25" descr="Envelope" hidden="1">
              <a:extLs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>
            <a:xfrm>
              <a:off x="15906750" y="1019175"/>
              <a:ext cx="270000" cy="180000"/>
            </a:xfrm>
            <a:custGeom>
              <a:avLst/>
              <a:gdLst>
                <a:gd name="connsiteX0" fmla="*/ 0 w 450000"/>
                <a:gd name="connsiteY0" fmla="*/ 0 h 315000"/>
                <a:gd name="connsiteX1" fmla="*/ 0 w 450000"/>
                <a:gd name="connsiteY1" fmla="*/ 315000 h 315000"/>
                <a:gd name="connsiteX2" fmla="*/ 450000 w 450000"/>
                <a:gd name="connsiteY2" fmla="*/ 315000 h 315000"/>
                <a:gd name="connsiteX3" fmla="*/ 450000 w 450000"/>
                <a:gd name="connsiteY3" fmla="*/ 0 h 315000"/>
                <a:gd name="connsiteX4" fmla="*/ 0 w 450000"/>
                <a:gd name="connsiteY4" fmla="*/ 0 h 315000"/>
                <a:gd name="connsiteX5" fmla="*/ 232875 w 450000"/>
                <a:gd name="connsiteY5" fmla="*/ 196313 h 315000"/>
                <a:gd name="connsiteX6" fmla="*/ 217125 w 450000"/>
                <a:gd name="connsiteY6" fmla="*/ 196313 h 315000"/>
                <a:gd name="connsiteX7" fmla="*/ 50625 w 450000"/>
                <a:gd name="connsiteY7" fmla="*/ 33750 h 315000"/>
                <a:gd name="connsiteX8" fmla="*/ 399938 w 450000"/>
                <a:gd name="connsiteY8" fmla="*/ 33750 h 315000"/>
                <a:gd name="connsiteX9" fmla="*/ 232875 w 450000"/>
                <a:gd name="connsiteY9" fmla="*/ 196313 h 315000"/>
                <a:gd name="connsiteX10" fmla="*/ 143438 w 450000"/>
                <a:gd name="connsiteY10" fmla="*/ 155813 h 315000"/>
                <a:gd name="connsiteX11" fmla="*/ 33750 w 450000"/>
                <a:gd name="connsiteY11" fmla="*/ 266063 h 315000"/>
                <a:gd name="connsiteX12" fmla="*/ 33750 w 450000"/>
                <a:gd name="connsiteY12" fmla="*/ 48375 h 315000"/>
                <a:gd name="connsiteX13" fmla="*/ 143438 w 450000"/>
                <a:gd name="connsiteY13" fmla="*/ 155813 h 315000"/>
                <a:gd name="connsiteX14" fmla="*/ 159750 w 450000"/>
                <a:gd name="connsiteY14" fmla="*/ 171563 h 315000"/>
                <a:gd name="connsiteX15" fmla="*/ 201938 w 450000"/>
                <a:gd name="connsiteY15" fmla="*/ 212625 h 315000"/>
                <a:gd name="connsiteX16" fmla="*/ 225562 w 450000"/>
                <a:gd name="connsiteY16" fmla="*/ 222188 h 315000"/>
                <a:gd name="connsiteX17" fmla="*/ 249188 w 450000"/>
                <a:gd name="connsiteY17" fmla="*/ 212625 h 315000"/>
                <a:gd name="connsiteX18" fmla="*/ 291375 w 450000"/>
                <a:gd name="connsiteY18" fmla="*/ 171563 h 315000"/>
                <a:gd name="connsiteX19" fmla="*/ 400500 w 450000"/>
                <a:gd name="connsiteY19" fmla="*/ 281250 h 315000"/>
                <a:gd name="connsiteX20" fmla="*/ 50062 w 450000"/>
                <a:gd name="connsiteY20" fmla="*/ 281250 h 315000"/>
                <a:gd name="connsiteX21" fmla="*/ 159750 w 450000"/>
                <a:gd name="connsiteY21" fmla="*/ 171563 h 315000"/>
                <a:gd name="connsiteX22" fmla="*/ 306563 w 450000"/>
                <a:gd name="connsiteY22" fmla="*/ 155813 h 315000"/>
                <a:gd name="connsiteX23" fmla="*/ 416250 w 450000"/>
                <a:gd name="connsiteY23" fmla="*/ 48938 h 315000"/>
                <a:gd name="connsiteX24" fmla="*/ 416250 w 450000"/>
                <a:gd name="connsiteY24" fmla="*/ 265500 h 315000"/>
                <a:gd name="connsiteX25" fmla="*/ 306563 w 450000"/>
                <a:gd name="connsiteY25" fmla="*/ 155813 h 315000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450000" h="315000">
                  <a:moveTo>
                    <a:pt x="0" y="0"/>
                  </a:moveTo>
                  <a:lnTo>
                    <a:pt x="0" y="315000"/>
                  </a:lnTo>
                  <a:lnTo>
                    <a:pt x="450000" y="315000"/>
                  </a:lnTo>
                  <a:lnTo>
                    <a:pt x="450000" y="0"/>
                  </a:lnTo>
                  <a:lnTo>
                    <a:pt x="0" y="0"/>
                  </a:lnTo>
                  <a:close/>
                  <a:moveTo>
                    <a:pt x="232875" y="196313"/>
                  </a:moveTo>
                  <a:cubicBezTo>
                    <a:pt x="228375" y="200813"/>
                    <a:pt x="221625" y="200813"/>
                    <a:pt x="217125" y="196313"/>
                  </a:cubicBezTo>
                  <a:lnTo>
                    <a:pt x="50625" y="33750"/>
                  </a:lnTo>
                  <a:lnTo>
                    <a:pt x="399938" y="33750"/>
                  </a:lnTo>
                  <a:lnTo>
                    <a:pt x="232875" y="196313"/>
                  </a:lnTo>
                  <a:close/>
                  <a:moveTo>
                    <a:pt x="143438" y="155813"/>
                  </a:moveTo>
                  <a:lnTo>
                    <a:pt x="33750" y="266063"/>
                  </a:lnTo>
                  <a:lnTo>
                    <a:pt x="33750" y="48375"/>
                  </a:lnTo>
                  <a:lnTo>
                    <a:pt x="143438" y="155813"/>
                  </a:lnTo>
                  <a:close/>
                  <a:moveTo>
                    <a:pt x="159750" y="171563"/>
                  </a:moveTo>
                  <a:lnTo>
                    <a:pt x="201938" y="212625"/>
                  </a:lnTo>
                  <a:cubicBezTo>
                    <a:pt x="208687" y="218813"/>
                    <a:pt x="217125" y="222188"/>
                    <a:pt x="225562" y="222188"/>
                  </a:cubicBezTo>
                  <a:cubicBezTo>
                    <a:pt x="234000" y="222188"/>
                    <a:pt x="242437" y="218813"/>
                    <a:pt x="249188" y="212625"/>
                  </a:cubicBezTo>
                  <a:lnTo>
                    <a:pt x="291375" y="171563"/>
                  </a:lnTo>
                  <a:lnTo>
                    <a:pt x="400500" y="281250"/>
                  </a:lnTo>
                  <a:lnTo>
                    <a:pt x="50062" y="281250"/>
                  </a:lnTo>
                  <a:lnTo>
                    <a:pt x="159750" y="171563"/>
                  </a:lnTo>
                  <a:close/>
                  <a:moveTo>
                    <a:pt x="306563" y="155813"/>
                  </a:moveTo>
                  <a:lnTo>
                    <a:pt x="416250" y="48938"/>
                  </a:lnTo>
                  <a:lnTo>
                    <a:pt x="416250" y="265500"/>
                  </a:lnTo>
                  <a:lnTo>
                    <a:pt x="306563" y="155813"/>
                  </a:lnTo>
                  <a:close/>
                </a:path>
              </a:pathLst>
            </a:custGeom>
            <a:solidFill>
              <a:schemeClr val="bg1"/>
            </a:solidFill>
            <a:ln w="5556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en-CA"/>
            </a:p>
          </xdr:txBody>
        </xdr:sp>
      </xdr:grpSp>
    </xdr:grpSp>
    <xdr:clientData/>
  </xdr:twoCellAnchor>
  <xdr:twoCellAnchor>
    <xdr:from>
      <xdr:col>26</xdr:col>
      <xdr:colOff>0</xdr:colOff>
      <xdr:row>0</xdr:row>
      <xdr:rowOff>161925</xdr:rowOff>
    </xdr:from>
    <xdr:to>
      <xdr:col>31</xdr:col>
      <xdr:colOff>1543957</xdr:colOff>
      <xdr:row>15</xdr:row>
      <xdr:rowOff>0</xdr:rowOff>
    </xdr:to>
    <xdr:grpSp>
      <xdr:nvGrpSpPr>
        <xdr:cNvPr id="46" name="DocumentGrp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GrpSpPr/>
      </xdr:nvGrpSpPr>
      <xdr:grpSpPr>
        <a:xfrm>
          <a:off x="10553700" y="161925"/>
          <a:ext cx="0" cy="3552825"/>
          <a:chOff x="21936075" y="161925"/>
          <a:chExt cx="6496957" cy="3552825"/>
        </a:xfrm>
      </xdr:grpSpPr>
      <xdr:grpSp>
        <xdr:nvGrpSpPr>
          <xdr:cNvPr id="1136" name="HomeButton">
            <a:extLst>
              <a:ext uri="{FF2B5EF4-FFF2-40B4-BE49-F238E27FC236}">
                <a16:creationId xmlns:a16="http://schemas.microsoft.com/office/drawing/2014/main" id="{00000000-0008-0000-0000-000070040000}"/>
              </a:ext>
            </a:extLst>
          </xdr:cNvPr>
          <xdr:cNvGrpSpPr/>
        </xdr:nvGrpSpPr>
        <xdr:grpSpPr>
          <a:xfrm>
            <a:off x="22145625" y="247650"/>
            <a:ext cx="687600" cy="590550"/>
            <a:chOff x="32461200" y="323850"/>
            <a:chExt cx="685800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44" name="Rectangle 1143">
              <a:extLs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>
            <a:xfrm>
              <a:off x="32461200" y="323850"/>
              <a:ext cx="685800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45" name="Graphic 1144" descr="House">
              <a:extLs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List Box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21936075" y="1219200"/>
                <a:ext cx="1106600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1138" name="Group 1137">
            <a:extLst>
              <a:ext uri="{FF2B5EF4-FFF2-40B4-BE49-F238E27FC236}">
                <a16:creationId xmlns:a16="http://schemas.microsoft.com/office/drawing/2014/main" id="{00000000-0008-0000-0000-000072040000}"/>
              </a:ext>
            </a:extLst>
          </xdr:cNvPr>
          <xdr:cNvGrpSpPr/>
        </xdr:nvGrpSpPr>
        <xdr:grpSpPr>
          <a:xfrm>
            <a:off x="25647025" y="981075"/>
            <a:ext cx="2786007" cy="270000"/>
            <a:chOff x="26342350" y="971550"/>
            <a:chExt cx="2786007" cy="270000"/>
          </a:xfrm>
        </xdr:grpSpPr>
        <xdr:sp macro="[1]!Contact_Save" textlink="">
          <xdr:nvSpPr>
            <xdr:cNvPr id="1140" name="Rectangle 1139">
              <a:extLs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>
            <a:xfrm>
              <a:off x="26342350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Document</a:t>
              </a:r>
            </a:p>
          </xdr:txBody>
        </xdr:sp>
        <xdr:sp macro="[1]!Contact_New" textlink="">
          <xdr:nvSpPr>
            <xdr:cNvPr id="1141" name="Rectangle 1140">
              <a:extLs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>
            <a:xfrm>
              <a:off x="27763957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Add Document</a:t>
              </a:r>
            </a:p>
            <a:p>
              <a:pPr algn="r"/>
              <a:endParaRPr lang="en-US" sz="1100" b="1"/>
            </a:p>
          </xdr:txBody>
        </xdr:sp>
        <xdr:pic>
          <xdr:nvPicPr>
            <xdr:cNvPr id="1142" name="Graphic 1141" descr="Open folder">
              <a:extLs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26422350" y="971550"/>
              <a:ext cx="270000" cy="270000"/>
            </a:xfrm>
            <a:prstGeom prst="rect">
              <a:avLst/>
            </a:prstGeom>
          </xdr:spPr>
        </xdr:pic>
        <xdr:pic macro="[1]!Contact_New">
          <xdr:nvPicPr>
            <xdr:cNvPr id="1143" name="Picture 1142">
              <a:extLs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27831120" y="1019175"/>
              <a:ext cx="191464" cy="201019"/>
            </a:xfrm>
            <a:prstGeom prst="rect">
              <a:avLst/>
            </a:prstGeom>
          </xdr:spPr>
        </xdr:pic>
      </xdr:grpSp>
      <xdr:pic>
        <xdr:nvPicPr>
          <xdr:cNvPr id="1139" name="Graphic 1138" descr="Open folder">
            <a:extLst>
              <a:ext uri="{FF2B5EF4-FFF2-40B4-BE49-F238E27FC236}">
                <a16:creationId xmlns:a16="http://schemas.microsoft.com/office/drawing/2014/main" id="{00000000-0008-0000-0000-000073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24305400" y="161925"/>
            <a:ext cx="1080000" cy="1080000"/>
          </a:xfrm>
          <a:prstGeom prst="rect">
            <a:avLst/>
          </a:prstGeom>
        </xdr:spPr>
      </xdr:pic>
    </xdr:grpSp>
    <xdr:clientData/>
  </xdr:twoCellAnchor>
  <xdr:twoCellAnchor>
    <xdr:from>
      <xdr:col>40</xdr:col>
      <xdr:colOff>0</xdr:colOff>
      <xdr:row>0</xdr:row>
      <xdr:rowOff>133350</xdr:rowOff>
    </xdr:from>
    <xdr:to>
      <xdr:col>45</xdr:col>
      <xdr:colOff>1391556</xdr:colOff>
      <xdr:row>14</xdr:row>
      <xdr:rowOff>190500</xdr:rowOff>
    </xdr:to>
    <xdr:grpSp>
      <xdr:nvGrpSpPr>
        <xdr:cNvPr id="45" name="Group 44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GrpSpPr/>
      </xdr:nvGrpSpPr>
      <xdr:grpSpPr>
        <a:xfrm>
          <a:off x="10553700" y="133350"/>
          <a:ext cx="0" cy="3571875"/>
          <a:chOff x="34290000" y="133350"/>
          <a:chExt cx="6601731" cy="3571875"/>
        </a:xfrm>
      </xdr:grpSpPr>
      <xdr:grpSp>
        <xdr:nvGrpSpPr>
          <xdr:cNvPr id="50" name="HomeButton">
            <a:extLst>
              <a:ext uri="{FF2B5EF4-FFF2-40B4-BE49-F238E27FC236}">
                <a16:creationId xmlns:a16="http://schemas.microsoft.com/office/drawing/2014/main" id="{00000000-0008-0000-0000-000032000000}"/>
              </a:ext>
            </a:extLst>
          </xdr:cNvPr>
          <xdr:cNvGrpSpPr/>
        </xdr:nvGrpSpPr>
        <xdr:grpSpPr>
          <a:xfrm>
            <a:off x="34537781" y="238125"/>
            <a:ext cx="687600" cy="590550"/>
            <a:chOff x="32461200" y="323850"/>
            <a:chExt cx="659084" cy="590550"/>
          </a:xfrm>
          <a:effectLst>
            <a:outerShdw blurRad="50800" dist="38100" dir="8100000" algn="tr" rotWithShape="0">
              <a:prstClr val="black">
                <a:alpha val="40000"/>
              </a:prstClr>
            </a:outerShdw>
          </a:effectLst>
        </xdr:grpSpPr>
        <xdr:sp macro="[0]!Show_Home" textlink="">
          <xdr:nvSpPr>
            <xdr:cNvPr id="1154" name="Rectangle 1153">
              <a:extLs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>
            <a:xfrm>
              <a:off x="32461200" y="323850"/>
              <a:ext cx="659084" cy="590550"/>
            </a:xfrm>
            <a:prstGeom prst="rect">
              <a:avLst/>
            </a:prstGeom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CA" sz="1100"/>
            </a:p>
          </xdr:txBody>
        </xdr:sp>
        <xdr:pic macro="[0]!Show_Home">
          <xdr:nvPicPr>
            <xdr:cNvPr id="1155" name="Graphic 1154" descr="House">
              <a:extLs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32537400" y="333375"/>
              <a:ext cx="540000" cy="540000"/>
            </a:xfrm>
            <a:prstGeom prst="rect">
              <a:avLst/>
            </a:prstGeom>
          </xdr:spPr>
        </xdr:pic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6" name="List Box 22" hidden="1">
                <a:extLst>
                  <a:ext uri="{63B3BB69-23CF-44E3-9099-C40C66FF867C}">
                    <a14:compatExt spid="_x0000_s1046"/>
                  </a:ext>
                  <a:ext uri="{FF2B5EF4-FFF2-40B4-BE49-F238E27FC236}">
                    <a16:creationId xmlns:a16="http://schemas.microsoft.com/office/drawing/2014/main" id="{00000000-0008-0000-0000-000016040000}"/>
                  </a:ext>
                </a:extLst>
              </xdr:cNvPr>
              <xdr:cNvSpPr/>
            </xdr:nvSpPr>
            <xdr:spPr bwMode="auto">
              <a:xfrm>
                <a:off x="34290000" y="1209675"/>
                <a:ext cx="1362075" cy="24955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xdr:grpSp>
        <xdr:nvGrpSpPr>
          <xdr:cNvPr id="60" name="Group 59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GrpSpPr/>
        </xdr:nvGrpSpPr>
        <xdr:grpSpPr>
          <a:xfrm>
            <a:off x="37992793" y="981075"/>
            <a:ext cx="2898938" cy="247467"/>
            <a:chOff x="38886775" y="981075"/>
            <a:chExt cx="2786007" cy="247467"/>
          </a:xfrm>
        </xdr:grpSpPr>
        <xdr:sp macro="[1]!Contact_Save" textlink="">
          <xdr:nvSpPr>
            <xdr:cNvPr id="62" name="Rectangle 61">
              <a:extLst>
                <a:ext uri="{FF2B5EF4-FFF2-40B4-BE49-F238E27FC236}">
                  <a16:creationId xmlns:a16="http://schemas.microsoft.com/office/drawing/2014/main" id="{00000000-0008-0000-0000-00003E000000}"/>
                </a:ext>
              </a:extLst>
            </xdr:cNvPr>
            <xdr:cNvSpPr/>
          </xdr:nvSpPr>
          <xdr:spPr>
            <a:xfrm>
              <a:off x="38886775" y="981075"/>
              <a:ext cx="1365875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 anchorCtr="0"/>
            <a:lstStyle/>
            <a:p>
              <a:pPr algn="r"/>
              <a:r>
                <a:rPr lang="en-US" sz="1100" b="1"/>
                <a:t>Save Reminder</a:t>
              </a:r>
            </a:p>
          </xdr:txBody>
        </xdr:sp>
        <xdr:sp macro="[1]!Contact_New" textlink="">
          <xdr:nvSpPr>
            <xdr:cNvPr id="63" name="Rectangle 62">
              <a:extLst>
                <a:ext uri="{FF2B5EF4-FFF2-40B4-BE49-F238E27FC236}">
                  <a16:creationId xmlns:a16="http://schemas.microsoft.com/office/drawing/2014/main" id="{00000000-0008-0000-0000-00003F000000}"/>
                </a:ext>
              </a:extLst>
            </xdr:cNvPr>
            <xdr:cNvSpPr/>
          </xdr:nvSpPr>
          <xdr:spPr>
            <a:xfrm>
              <a:off x="40308382" y="981075"/>
              <a:ext cx="1364400" cy="247467"/>
            </a:xfrm>
            <a:prstGeom prst="rect">
              <a:avLst/>
            </a:prstGeom>
          </xdr:spPr>
          <xdr:style>
            <a:lnRef idx="0">
              <a:schemeClr val="accent1"/>
            </a:lnRef>
            <a:fillRef idx="3">
              <a:schemeClr val="accent1"/>
            </a:fillRef>
            <a:effectRef idx="3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r"/>
              <a:r>
                <a:rPr lang="en-US" sz="1100" b="1"/>
                <a:t>New</a:t>
              </a:r>
              <a:r>
                <a:rPr lang="en-US" sz="1100" b="1" baseline="0"/>
                <a:t> Reminder</a:t>
              </a:r>
              <a:endParaRPr lang="en-US" sz="1100" b="1"/>
            </a:p>
          </xdr:txBody>
        </xdr:sp>
        <xdr:pic macro="[1]!Contact_New">
          <xdr:nvPicPr>
            <xdr:cNvPr id="1152" name="Picture 1151">
              <a:extLs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40375545" y="1019175"/>
              <a:ext cx="191464" cy="201019"/>
            </a:xfrm>
            <a:prstGeom prst="rect">
              <a:avLst/>
            </a:prstGeom>
          </xdr:spPr>
        </xdr:pic>
        <xdr:pic macro="[1]!Contact_Save">
          <xdr:nvPicPr>
            <xdr:cNvPr id="1153" name="Picture 1152">
              <a:extLs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6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38985825" y="1000125"/>
              <a:ext cx="189522" cy="201019"/>
            </a:xfrm>
            <a:prstGeom prst="rect">
              <a:avLst/>
            </a:prstGeom>
          </xdr:spPr>
        </xdr:pic>
      </xdr:grpSp>
      <xdr:pic>
        <xdr:nvPicPr>
          <xdr:cNvPr id="61" name="Graphic 60" descr="Daily calendar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7"/>
              </a:ext>
            </a:extLst>
          </a:blip>
          <a:stretch>
            <a:fillRect/>
          </a:stretch>
        </xdr:blipFill>
        <xdr:spPr>
          <a:xfrm>
            <a:off x="36651335" y="133350"/>
            <a:ext cx="1123778" cy="1080000"/>
          </a:xfrm>
          <a:prstGeom prst="rect">
            <a:avLst/>
          </a:prstGeom>
        </xdr:spPr>
      </xdr:pic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Mini_CRM.xlsm" TargetMode="External"/><Relationship Id="rId1" Type="http://schemas.openxmlformats.org/officeDocument/2006/relationships/externalLinkPath" Target="Mini_CRM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mario_backup\Desktop\mario\Tesseral\2024\CRM\CRM_may2024_v2.xlsx" TargetMode="External"/><Relationship Id="rId1" Type="http://schemas.openxmlformats.org/officeDocument/2006/relationships/externalLinkPath" Target="CRM_may2024_v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</sheetNames>
    <definedNames>
      <definedName name="Contact_New"/>
      <definedName name="Contact_Save"/>
      <definedName name="Contact_Select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ini-CRM"/>
      <sheetName val="Contacts"/>
      <sheetName val="Documents"/>
      <sheetName val="Emails"/>
      <sheetName val="Reminder"/>
      <sheetName val="CRM_may2024_v2"/>
    </sheetNames>
    <definedNames>
      <definedName name="Show_Email"/>
    </definedNames>
    <sheetDataSet>
      <sheetData sheetId="0"/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Lisa@gmail.com" TargetMode="External"/><Relationship Id="rId7" Type="http://schemas.openxmlformats.org/officeDocument/2006/relationships/hyperlink" Target="mailto:John@gmail.com" TargetMode="External"/><Relationship Id="rId2" Type="http://schemas.openxmlformats.org/officeDocument/2006/relationships/hyperlink" Target="mailto:David@gmail.com" TargetMode="External"/><Relationship Id="rId1" Type="http://schemas.openxmlformats.org/officeDocument/2006/relationships/hyperlink" Target="mailto:Fred@Gmail.com" TargetMode="External"/><Relationship Id="rId6" Type="http://schemas.openxmlformats.org/officeDocument/2006/relationships/hyperlink" Target="mailto:Mary@gmail.com" TargetMode="External"/><Relationship Id="rId5" Type="http://schemas.openxmlformats.org/officeDocument/2006/relationships/hyperlink" Target="mailto:Beth@gmail.com" TargetMode="External"/><Relationship Id="rId4" Type="http://schemas.openxmlformats.org/officeDocument/2006/relationships/hyperlink" Target="mailto:J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DBA8C-6DF0-4F10-81E2-52CFE31E4842}">
  <sheetPr codeName="Sheet1"/>
  <dimension ref="A1:BC81"/>
  <sheetViews>
    <sheetView tabSelected="1" zoomScaleNormal="100" workbookViewId="0">
      <selection activeCell="A15" sqref="A15:XFD15"/>
    </sheetView>
  </sheetViews>
  <sheetFormatPr defaultRowHeight="15" x14ac:dyDescent="0.25"/>
  <cols>
    <col min="1" max="1" width="16.85546875" bestFit="1" customWidth="1"/>
    <col min="4" max="4" width="16.7109375" customWidth="1"/>
    <col min="5" max="5" width="5.5703125" customWidth="1"/>
    <col min="6" max="6" width="13.85546875" customWidth="1"/>
    <col min="7" max="7" width="25.5703125" customWidth="1"/>
    <col min="8" max="8" width="12.42578125" customWidth="1"/>
    <col min="9" max="9" width="27.28515625" customWidth="1"/>
    <col min="10" max="10" width="3.42578125" customWidth="1"/>
    <col min="11" max="12" width="9.140625" customWidth="1"/>
    <col min="13" max="14" width="9.140625" hidden="1" customWidth="1"/>
    <col min="15" max="15" width="16.5703125" hidden="1" customWidth="1"/>
    <col min="16" max="16" width="5.5703125" hidden="1" customWidth="1"/>
    <col min="17" max="17" width="13.85546875" hidden="1" customWidth="1"/>
    <col min="18" max="18" width="26.28515625" hidden="1" customWidth="1"/>
    <col min="19" max="19" width="12.85546875" hidden="1" customWidth="1"/>
    <col min="20" max="20" width="26" hidden="1" customWidth="1"/>
    <col min="21" max="21" width="4.5703125" hidden="1" customWidth="1"/>
    <col min="22" max="22" width="19.42578125" hidden="1" customWidth="1"/>
    <col min="23" max="26" width="9.140625" hidden="1" customWidth="1"/>
    <col min="27" max="27" width="16.5703125" hidden="1" customWidth="1"/>
    <col min="28" max="28" width="5.5703125" hidden="1" customWidth="1"/>
    <col min="29" max="29" width="16.7109375" hidden="1" customWidth="1"/>
    <col min="30" max="30" width="26.28515625" hidden="1" customWidth="1"/>
    <col min="31" max="31" width="9.140625" hidden="1" customWidth="1"/>
    <col min="32" max="32" width="35" hidden="1" customWidth="1"/>
    <col min="33" max="33" width="4.5703125" hidden="1" customWidth="1"/>
    <col min="34" max="34" width="16.5703125" hidden="1" customWidth="1"/>
    <col min="35" max="40" width="9.140625" hidden="1" customWidth="1"/>
    <col min="41" max="41" width="20.42578125" hidden="1" customWidth="1"/>
    <col min="42" max="42" width="5.5703125" hidden="1" customWidth="1"/>
    <col min="43" max="43" width="16.7109375" hidden="1" customWidth="1"/>
    <col min="44" max="44" width="26.28515625" hidden="1" customWidth="1"/>
    <col min="45" max="45" width="9.140625" hidden="1" customWidth="1"/>
    <col min="46" max="46" width="35" hidden="1" customWidth="1"/>
    <col min="47" max="51" width="9.140625" hidden="1" customWidth="1"/>
    <col min="52" max="52" width="117.42578125" hidden="1" customWidth="1"/>
    <col min="55" max="55" width="91.42578125" customWidth="1"/>
  </cols>
  <sheetData>
    <row r="1" spans="1:55" ht="80.25" customHeight="1" thickBot="1" x14ac:dyDescent="0.3">
      <c r="A1" s="1" t="s">
        <v>4</v>
      </c>
      <c r="B1" s="1"/>
      <c r="C1" s="5"/>
      <c r="D1" s="5"/>
      <c r="E1" s="5"/>
      <c r="F1" s="26" t="s">
        <v>20</v>
      </c>
      <c r="G1" s="26"/>
      <c r="H1" s="26"/>
      <c r="I1" s="26"/>
      <c r="J1" s="26"/>
      <c r="K1" s="26"/>
      <c r="L1" s="5"/>
      <c r="M1" s="5"/>
      <c r="N1" s="5"/>
      <c r="O1" s="5"/>
      <c r="P1" s="5"/>
      <c r="Q1" s="26" t="s">
        <v>95</v>
      </c>
      <c r="R1" s="26"/>
      <c r="S1" s="26"/>
      <c r="T1" s="26"/>
      <c r="U1" s="26"/>
      <c r="V1" s="26"/>
      <c r="W1" s="5"/>
      <c r="X1" s="5"/>
      <c r="Y1" s="5"/>
      <c r="Z1" s="5"/>
      <c r="AA1" s="5"/>
      <c r="AB1" s="5"/>
      <c r="AC1" s="26" t="s">
        <v>102</v>
      </c>
      <c r="AD1" s="26"/>
      <c r="AE1" s="26"/>
      <c r="AF1" s="26"/>
      <c r="AG1" s="26"/>
      <c r="AH1" s="26"/>
      <c r="AI1" s="5"/>
      <c r="AJ1" s="5"/>
      <c r="AK1" s="5"/>
      <c r="AL1" s="5"/>
      <c r="AM1" s="5"/>
      <c r="AN1" s="5"/>
      <c r="AO1" s="5"/>
      <c r="AP1" s="5"/>
      <c r="AQ1" s="26" t="s">
        <v>108</v>
      </c>
      <c r="AR1" s="26"/>
      <c r="AS1" s="26"/>
      <c r="AT1" s="26"/>
      <c r="AU1" s="26"/>
      <c r="AV1" s="26"/>
      <c r="AW1" s="5"/>
      <c r="AX1" s="5"/>
      <c r="AY1" s="5"/>
      <c r="AZ1" s="5"/>
      <c r="BA1" s="5"/>
      <c r="BB1" s="5"/>
      <c r="BC1" s="5"/>
    </row>
    <row r="2" spans="1:55" ht="15" customHeight="1" thickBot="1" x14ac:dyDescent="0.3">
      <c r="A2" s="2" t="s">
        <v>5</v>
      </c>
      <c r="B2" s="3" t="b">
        <v>1</v>
      </c>
      <c r="C2" s="6"/>
      <c r="D2" s="23" t="s">
        <v>20</v>
      </c>
      <c r="E2" s="6"/>
      <c r="F2" s="21" t="s">
        <v>90</v>
      </c>
      <c r="G2" s="20" t="s">
        <v>34</v>
      </c>
      <c r="H2" s="6"/>
      <c r="I2" s="6"/>
      <c r="J2" s="6"/>
      <c r="K2" s="6"/>
      <c r="L2" s="6"/>
      <c r="M2" s="6"/>
      <c r="N2" s="6"/>
      <c r="O2" s="23" t="s">
        <v>101</v>
      </c>
      <c r="P2" s="6"/>
      <c r="Q2" s="21" t="s">
        <v>96</v>
      </c>
      <c r="R2" s="20" t="s">
        <v>30</v>
      </c>
      <c r="S2" s="6"/>
      <c r="T2" s="6"/>
      <c r="U2" s="6"/>
      <c r="V2" s="23" t="s">
        <v>100</v>
      </c>
      <c r="W2" s="6"/>
      <c r="X2" s="6"/>
      <c r="Y2" s="6"/>
      <c r="Z2" s="6"/>
      <c r="AA2" s="23" t="s">
        <v>103</v>
      </c>
      <c r="AB2" s="6"/>
      <c r="AC2" s="19"/>
      <c r="AD2" s="6"/>
      <c r="AE2" s="6"/>
      <c r="AF2" s="6"/>
      <c r="AG2" s="6"/>
      <c r="AH2" s="6"/>
      <c r="AI2" s="6"/>
      <c r="AJ2" s="6"/>
      <c r="AK2" s="6"/>
      <c r="AL2" s="6"/>
      <c r="AM2" s="6"/>
      <c r="AN2" s="6"/>
      <c r="AO2" s="23" t="s">
        <v>112</v>
      </c>
      <c r="AP2" s="6"/>
      <c r="AQ2" s="19"/>
      <c r="AR2" s="6"/>
      <c r="AS2" s="6"/>
      <c r="AT2" s="6"/>
      <c r="AU2" s="6"/>
      <c r="AV2" s="6"/>
      <c r="AW2" s="6"/>
      <c r="AX2" s="6"/>
      <c r="AY2" s="6"/>
      <c r="AZ2" s="6"/>
      <c r="BA2" s="6"/>
      <c r="BB2" s="6"/>
      <c r="BC2" s="6"/>
    </row>
    <row r="3" spans="1:55" ht="15" customHeight="1" thickBot="1" x14ac:dyDescent="0.3">
      <c r="A3" s="2" t="s">
        <v>6</v>
      </c>
      <c r="B3" s="3">
        <v>5</v>
      </c>
      <c r="C3" s="6"/>
      <c r="D3" s="6"/>
      <c r="E3" s="6"/>
      <c r="F3" s="19"/>
      <c r="G3" s="6"/>
      <c r="H3" s="6"/>
      <c r="I3" s="6"/>
      <c r="J3" s="6"/>
      <c r="K3" s="6"/>
      <c r="L3" s="6"/>
      <c r="M3" s="6"/>
      <c r="N3" s="6"/>
      <c r="O3" s="6"/>
      <c r="P3" s="6"/>
      <c r="Q3" s="19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19"/>
      <c r="AD3" s="6"/>
      <c r="AE3" s="6"/>
      <c r="AF3" s="6"/>
      <c r="AG3" s="6"/>
      <c r="AH3" s="6"/>
      <c r="AI3" s="6"/>
      <c r="AJ3" s="6"/>
      <c r="AK3" s="6"/>
      <c r="AL3" s="6"/>
      <c r="AM3" s="6"/>
      <c r="AN3" s="6"/>
      <c r="AO3" s="6"/>
      <c r="AP3" s="6"/>
      <c r="AQ3" s="19"/>
      <c r="AR3" s="6"/>
      <c r="AS3" s="6"/>
      <c r="AT3" s="6"/>
      <c r="AU3" s="6"/>
      <c r="AV3" s="6"/>
      <c r="AW3" s="6"/>
      <c r="AX3" s="6"/>
      <c r="AY3" s="6"/>
      <c r="AZ3" s="6"/>
      <c r="BA3" s="6"/>
      <c r="BB3" s="6"/>
      <c r="BC3" s="6"/>
    </row>
    <row r="4" spans="1:55" ht="15" customHeight="1" thickBot="1" x14ac:dyDescent="0.3">
      <c r="A4" s="2" t="s">
        <v>7</v>
      </c>
      <c r="B4" s="3">
        <f ca="1">IFERROR(MATCH(G2,ContactNames,0)+3,"")</f>
        <v>8</v>
      </c>
      <c r="C4" s="6"/>
      <c r="D4" s="6"/>
      <c r="E4" s="6"/>
      <c r="F4" s="21" t="s">
        <v>91</v>
      </c>
      <c r="G4" s="20"/>
      <c r="H4" s="21" t="s">
        <v>92</v>
      </c>
      <c r="I4" s="20"/>
      <c r="J4" s="6"/>
      <c r="K4" s="6"/>
      <c r="L4" s="6"/>
      <c r="M4" s="6"/>
      <c r="N4" s="6"/>
      <c r="O4" s="6"/>
      <c r="P4" s="6"/>
      <c r="Q4" s="21" t="s">
        <v>97</v>
      </c>
      <c r="R4" s="20"/>
      <c r="S4" s="21" t="s">
        <v>92</v>
      </c>
      <c r="T4" s="20"/>
      <c r="U4" s="6"/>
      <c r="V4" s="6"/>
      <c r="W4" s="6"/>
      <c r="X4" s="6"/>
      <c r="Y4" s="6"/>
      <c r="Z4" s="6"/>
      <c r="AA4" s="6"/>
      <c r="AB4" s="6"/>
      <c r="AC4" s="21" t="s">
        <v>104</v>
      </c>
      <c r="AD4" s="20"/>
      <c r="AE4" s="21" t="s">
        <v>105</v>
      </c>
      <c r="AF4" s="20"/>
      <c r="AG4" s="6"/>
      <c r="AH4" s="6"/>
      <c r="AI4" s="6"/>
      <c r="AJ4" s="6"/>
      <c r="AK4" s="6"/>
      <c r="AL4" s="6"/>
      <c r="AM4" s="6"/>
      <c r="AN4" s="6"/>
      <c r="AO4" s="6"/>
      <c r="AP4" s="6"/>
      <c r="AQ4" s="21" t="s">
        <v>109</v>
      </c>
      <c r="AR4" s="20"/>
      <c r="AS4" s="21" t="s">
        <v>105</v>
      </c>
      <c r="AT4" s="20"/>
      <c r="AU4" s="6"/>
      <c r="AV4" s="6"/>
      <c r="AW4" s="6"/>
      <c r="AX4" s="6"/>
      <c r="AY4" s="6"/>
      <c r="AZ4" s="6"/>
      <c r="BA4" s="6"/>
      <c r="BB4" s="6"/>
      <c r="BC4" s="6"/>
    </row>
    <row r="5" spans="1:55" ht="15" customHeight="1" thickBot="1" x14ac:dyDescent="0.3">
      <c r="A5" s="1" t="s">
        <v>8</v>
      </c>
      <c r="B5" s="4"/>
      <c r="C5" s="6"/>
      <c r="D5" s="6"/>
      <c r="E5" s="6"/>
      <c r="F5" s="19"/>
      <c r="G5" s="6"/>
      <c r="H5" s="6"/>
      <c r="I5" s="6"/>
      <c r="J5" s="6"/>
      <c r="K5" s="6"/>
      <c r="L5" s="6"/>
      <c r="M5" s="6"/>
      <c r="N5" s="6"/>
      <c r="O5" s="6"/>
      <c r="P5" s="6"/>
      <c r="Q5" s="19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19"/>
      <c r="AD5" s="6"/>
      <c r="AE5" s="6"/>
      <c r="AF5" s="6"/>
      <c r="AG5" s="6"/>
      <c r="AH5" s="6"/>
      <c r="AI5" s="6"/>
      <c r="AJ5" s="6"/>
      <c r="AK5" s="6"/>
      <c r="AL5" s="6"/>
      <c r="AM5" s="6"/>
      <c r="AN5" s="6"/>
      <c r="AO5" s="6"/>
      <c r="AP5" s="6"/>
      <c r="AQ5" s="19"/>
      <c r="AR5" s="6"/>
      <c r="AS5" s="6"/>
      <c r="AT5" s="6"/>
      <c r="AU5" s="6"/>
      <c r="AV5" s="6"/>
      <c r="AW5" s="6"/>
      <c r="AX5" s="6"/>
      <c r="AY5" s="6"/>
      <c r="AZ5" s="6"/>
      <c r="BA5" s="6"/>
      <c r="BB5" s="6"/>
      <c r="BC5" s="6"/>
    </row>
    <row r="6" spans="1:55" ht="15" customHeight="1" thickBot="1" x14ac:dyDescent="0.3">
      <c r="A6" s="2" t="s">
        <v>9</v>
      </c>
      <c r="B6" s="3" t="b">
        <v>0</v>
      </c>
      <c r="C6" s="6"/>
      <c r="D6" s="6"/>
      <c r="E6" s="6"/>
      <c r="F6" s="21" t="s">
        <v>93</v>
      </c>
      <c r="G6" s="42"/>
      <c r="H6" s="43"/>
      <c r="I6" s="41"/>
      <c r="J6" s="6"/>
      <c r="K6" s="6"/>
      <c r="L6" s="6"/>
      <c r="M6" s="6"/>
      <c r="N6" s="6"/>
      <c r="O6" s="6"/>
      <c r="P6" s="6"/>
      <c r="Q6" s="21" t="s">
        <v>98</v>
      </c>
      <c r="R6" s="20"/>
      <c r="S6" s="6"/>
      <c r="T6" s="6"/>
      <c r="U6" s="6"/>
      <c r="V6" s="6"/>
      <c r="W6" s="6"/>
      <c r="X6" s="6"/>
      <c r="Y6" s="6"/>
      <c r="Z6" s="6"/>
      <c r="AA6" s="6"/>
      <c r="AB6" s="6"/>
      <c r="AC6" s="21" t="s">
        <v>106</v>
      </c>
      <c r="AD6" s="20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21" t="s">
        <v>111</v>
      </c>
      <c r="AR6" s="24"/>
      <c r="AS6" s="21" t="s">
        <v>110</v>
      </c>
      <c r="AT6" s="25"/>
      <c r="AU6" s="6"/>
      <c r="AV6" s="6"/>
      <c r="AW6" s="6"/>
      <c r="AX6" s="6"/>
      <c r="AY6" s="6"/>
      <c r="AZ6" s="6"/>
      <c r="BA6" s="6"/>
      <c r="BB6" s="6"/>
      <c r="BC6" s="6"/>
    </row>
    <row r="7" spans="1:55" ht="15.75" thickBot="1" x14ac:dyDescent="0.3">
      <c r="A7" s="2" t="s">
        <v>10</v>
      </c>
      <c r="B7" s="3">
        <v>1</v>
      </c>
      <c r="C7" s="6"/>
      <c r="D7" s="6"/>
      <c r="E7" s="6"/>
      <c r="F7" s="19"/>
      <c r="G7" s="6"/>
      <c r="H7" s="6"/>
      <c r="I7" s="6"/>
      <c r="J7" s="6"/>
      <c r="K7" s="6"/>
      <c r="L7" s="6"/>
      <c r="M7" s="6"/>
      <c r="N7" s="6"/>
      <c r="O7" s="6"/>
      <c r="P7" s="6"/>
      <c r="Q7" s="19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19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  <c r="AQ7" s="19"/>
      <c r="AR7" s="6"/>
      <c r="AS7" s="6"/>
      <c r="AT7" s="6"/>
      <c r="AU7" s="6"/>
      <c r="AV7" s="6"/>
      <c r="AW7" s="6"/>
      <c r="AX7" s="6"/>
      <c r="AY7" s="6"/>
      <c r="AZ7" s="6"/>
      <c r="BA7" s="6"/>
      <c r="BB7" s="6"/>
      <c r="BC7" s="6"/>
    </row>
    <row r="8" spans="1:55" ht="15.75" thickBot="1" x14ac:dyDescent="0.3">
      <c r="A8" s="2" t="s">
        <v>11</v>
      </c>
      <c r="B8" s="3" t="str">
        <f ca="1">IFERROR(MATCH(AD4,Documents,0)+3,"")</f>
        <v/>
      </c>
      <c r="C8" s="6"/>
      <c r="D8" s="6"/>
      <c r="E8" s="6"/>
      <c r="F8" s="22" t="s">
        <v>94</v>
      </c>
      <c r="G8" s="27"/>
      <c r="H8" s="28"/>
      <c r="I8" s="29"/>
      <c r="J8" s="6"/>
      <c r="K8" s="6"/>
      <c r="L8" s="6"/>
      <c r="M8" s="6"/>
      <c r="N8" s="6"/>
      <c r="O8" s="6"/>
      <c r="P8" s="6"/>
      <c r="Q8" s="22" t="s">
        <v>99</v>
      </c>
      <c r="R8" s="27"/>
      <c r="S8" s="28"/>
      <c r="T8" s="29"/>
      <c r="U8" s="6"/>
      <c r="V8" s="6"/>
      <c r="W8" s="6"/>
      <c r="X8" s="6"/>
      <c r="Y8" s="6"/>
      <c r="Z8" s="6"/>
      <c r="AA8" s="6"/>
      <c r="AB8" s="6"/>
      <c r="AC8" s="22" t="s">
        <v>107</v>
      </c>
      <c r="AD8" s="27"/>
      <c r="AE8" s="28"/>
      <c r="AF8" s="29"/>
      <c r="AG8" s="6"/>
      <c r="AH8" s="6"/>
      <c r="AI8" s="6"/>
      <c r="AJ8" s="6"/>
      <c r="AK8" s="6"/>
      <c r="AL8" s="6"/>
      <c r="AM8" s="6"/>
      <c r="AN8" s="6"/>
      <c r="AO8" s="6"/>
      <c r="AP8" s="6"/>
      <c r="AQ8" s="22" t="s">
        <v>113</v>
      </c>
      <c r="AR8" s="27"/>
      <c r="AS8" s="28"/>
      <c r="AT8" s="29"/>
      <c r="AU8" s="6"/>
      <c r="AV8" s="6"/>
      <c r="AW8" s="6"/>
      <c r="AX8" s="6"/>
      <c r="AY8" s="6"/>
      <c r="AZ8" s="6"/>
      <c r="BA8" s="6"/>
      <c r="BB8" s="6"/>
      <c r="BC8" s="6"/>
    </row>
    <row r="9" spans="1:55" x14ac:dyDescent="0.25">
      <c r="A9" s="1" t="s">
        <v>12</v>
      </c>
      <c r="B9" s="4"/>
      <c r="C9" s="6"/>
      <c r="D9" s="6"/>
      <c r="E9" s="6"/>
      <c r="F9" s="6"/>
      <c r="G9" s="30"/>
      <c r="H9" s="31"/>
      <c r="I9" s="32"/>
      <c r="J9" s="6"/>
      <c r="K9" s="6"/>
      <c r="L9" s="6"/>
      <c r="M9" s="6"/>
      <c r="N9" s="6"/>
      <c r="O9" s="6"/>
      <c r="P9" s="6"/>
      <c r="Q9" s="6"/>
      <c r="R9" s="30"/>
      <c r="S9" s="31"/>
      <c r="T9" s="32"/>
      <c r="U9" s="6"/>
      <c r="V9" s="6"/>
      <c r="W9" s="6"/>
      <c r="X9" s="6"/>
      <c r="Y9" s="6"/>
      <c r="Z9" s="6"/>
      <c r="AA9" s="6"/>
      <c r="AB9" s="6"/>
      <c r="AC9" s="6"/>
      <c r="AD9" s="30"/>
      <c r="AE9" s="31"/>
      <c r="AF9" s="32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30"/>
      <c r="AS9" s="31"/>
      <c r="AT9" s="32"/>
      <c r="AU9" s="6"/>
      <c r="AV9" s="6"/>
      <c r="AW9" s="6"/>
      <c r="AX9" s="6"/>
      <c r="AY9" s="6"/>
      <c r="AZ9" s="6"/>
      <c r="BA9" s="6"/>
      <c r="BB9" s="6"/>
      <c r="BC9" s="6"/>
    </row>
    <row r="10" spans="1:55" x14ac:dyDescent="0.25">
      <c r="A10" s="2" t="s">
        <v>13</v>
      </c>
      <c r="B10" s="3" t="b">
        <v>0</v>
      </c>
      <c r="C10" s="6"/>
      <c r="D10" s="6"/>
      <c r="E10" s="6"/>
      <c r="F10" s="6"/>
      <c r="G10" s="30"/>
      <c r="H10" s="31"/>
      <c r="I10" s="32"/>
      <c r="J10" s="6"/>
      <c r="K10" s="6"/>
      <c r="L10" s="6"/>
      <c r="M10" s="6"/>
      <c r="N10" s="6"/>
      <c r="O10" s="6"/>
      <c r="P10" s="6"/>
      <c r="Q10" s="6"/>
      <c r="R10" s="30"/>
      <c r="S10" s="31"/>
      <c r="T10" s="32"/>
      <c r="U10" s="6"/>
      <c r="V10" s="6"/>
      <c r="W10" s="6"/>
      <c r="X10" s="6"/>
      <c r="Y10" s="6"/>
      <c r="Z10" s="6"/>
      <c r="AA10" s="6"/>
      <c r="AB10" s="6"/>
      <c r="AC10" s="6"/>
      <c r="AD10" s="30"/>
      <c r="AE10" s="31"/>
      <c r="AF10" s="32"/>
      <c r="AG10" s="6"/>
      <c r="AH10" s="6"/>
      <c r="AI10" s="6"/>
      <c r="AJ10" s="6"/>
      <c r="AK10" s="6"/>
      <c r="AL10" s="6"/>
      <c r="AM10" s="6"/>
      <c r="AN10" s="6"/>
      <c r="AO10" s="6"/>
      <c r="AP10" s="6"/>
      <c r="AQ10" s="6"/>
      <c r="AR10" s="30"/>
      <c r="AS10" s="31"/>
      <c r="AT10" s="32"/>
      <c r="AU10" s="6"/>
      <c r="AV10" s="6"/>
      <c r="AW10" s="6"/>
      <c r="AX10" s="6"/>
      <c r="AY10" s="6"/>
      <c r="AZ10" s="6"/>
      <c r="BA10" s="6"/>
      <c r="BB10" s="6"/>
      <c r="BC10" s="6"/>
    </row>
    <row r="11" spans="1:55" x14ac:dyDescent="0.25">
      <c r="A11" s="2" t="s">
        <v>13</v>
      </c>
      <c r="B11" s="3" t="b">
        <v>0</v>
      </c>
      <c r="C11" s="6"/>
      <c r="D11" s="6"/>
      <c r="E11" s="6"/>
      <c r="F11" s="6"/>
      <c r="G11" s="30"/>
      <c r="H11" s="31"/>
      <c r="I11" s="32"/>
      <c r="J11" s="6"/>
      <c r="K11" s="6"/>
      <c r="L11" s="6"/>
      <c r="M11" s="6"/>
      <c r="N11" s="6"/>
      <c r="O11" s="6"/>
      <c r="P11" s="6"/>
      <c r="Q11" s="6"/>
      <c r="R11" s="30"/>
      <c r="S11" s="31"/>
      <c r="T11" s="32"/>
      <c r="U11" s="6"/>
      <c r="V11" s="6"/>
      <c r="W11" s="6"/>
      <c r="X11" s="6"/>
      <c r="Y11" s="6"/>
      <c r="Z11" s="6"/>
      <c r="AA11" s="6"/>
      <c r="AB11" s="6"/>
      <c r="AC11" s="6"/>
      <c r="AD11" s="30"/>
      <c r="AE11" s="31"/>
      <c r="AF11" s="32"/>
      <c r="AG11" s="6"/>
      <c r="AH11" s="6"/>
      <c r="AI11" s="6"/>
      <c r="AJ11" s="6"/>
      <c r="AK11" s="6"/>
      <c r="AL11" s="6"/>
      <c r="AM11" s="6"/>
      <c r="AN11" s="6"/>
      <c r="AO11" s="6"/>
      <c r="AP11" s="6"/>
      <c r="AQ11" s="6"/>
      <c r="AR11" s="30"/>
      <c r="AS11" s="31"/>
      <c r="AT11" s="32"/>
      <c r="AU11" s="6"/>
      <c r="AV11" s="6"/>
      <c r="AW11" s="6"/>
      <c r="AX11" s="6"/>
      <c r="AY11" s="6"/>
      <c r="AZ11" s="6"/>
      <c r="BA11" s="6"/>
      <c r="BB11" s="6"/>
      <c r="BC11" s="6"/>
    </row>
    <row r="12" spans="1:55" x14ac:dyDescent="0.25">
      <c r="A12" s="2" t="s">
        <v>7</v>
      </c>
      <c r="B12" s="3">
        <f ca="1">IFERROR(MATCH(R2,ContactNames,0)+3,"")</f>
        <v>6</v>
      </c>
      <c r="C12" s="6"/>
      <c r="D12" s="6"/>
      <c r="E12" s="6"/>
      <c r="F12" s="6"/>
      <c r="G12" s="30"/>
      <c r="H12" s="31"/>
      <c r="I12" s="32"/>
      <c r="J12" s="6"/>
      <c r="K12" s="6"/>
      <c r="L12" s="6"/>
      <c r="M12" s="6"/>
      <c r="N12" s="6"/>
      <c r="O12" s="6"/>
      <c r="P12" s="6"/>
      <c r="Q12" s="6"/>
      <c r="R12" s="30"/>
      <c r="S12" s="31"/>
      <c r="T12" s="32"/>
      <c r="U12" s="6"/>
      <c r="V12" s="6"/>
      <c r="W12" s="6"/>
      <c r="X12" s="6"/>
      <c r="Y12" s="6"/>
      <c r="Z12" s="6"/>
      <c r="AA12" s="6"/>
      <c r="AB12" s="6"/>
      <c r="AC12" s="6"/>
      <c r="AD12" s="30"/>
      <c r="AE12" s="31"/>
      <c r="AF12" s="32"/>
      <c r="AG12" s="6"/>
      <c r="AH12" s="6"/>
      <c r="AI12" s="6"/>
      <c r="AJ12" s="6"/>
      <c r="AK12" s="6"/>
      <c r="AL12" s="6"/>
      <c r="AM12" s="6"/>
      <c r="AN12" s="6"/>
      <c r="AO12" s="6"/>
      <c r="AP12" s="6"/>
      <c r="AQ12" s="6"/>
      <c r="AR12" s="30"/>
      <c r="AS12" s="31"/>
      <c r="AT12" s="32"/>
      <c r="AU12" s="6"/>
      <c r="AV12" s="6"/>
      <c r="AW12" s="6"/>
      <c r="AX12" s="6"/>
      <c r="AY12" s="6"/>
      <c r="AZ12" s="6"/>
      <c r="BA12" s="6"/>
      <c r="BB12" s="6"/>
      <c r="BC12" s="6"/>
    </row>
    <row r="13" spans="1:55" x14ac:dyDescent="0.25">
      <c r="A13" s="2" t="s">
        <v>14</v>
      </c>
      <c r="B13" s="3">
        <v>1</v>
      </c>
      <c r="C13" s="6"/>
      <c r="D13" s="6"/>
      <c r="E13" s="6"/>
      <c r="F13" s="6"/>
      <c r="G13" s="30"/>
      <c r="H13" s="31"/>
      <c r="I13" s="32"/>
      <c r="J13" s="6"/>
      <c r="K13" s="6"/>
      <c r="L13" s="6"/>
      <c r="M13" s="6"/>
      <c r="N13" s="6"/>
      <c r="O13" s="6"/>
      <c r="P13" s="6"/>
      <c r="Q13" s="6"/>
      <c r="R13" s="30"/>
      <c r="S13" s="31"/>
      <c r="T13" s="32"/>
      <c r="U13" s="6"/>
      <c r="V13" s="6"/>
      <c r="W13" s="6"/>
      <c r="X13" s="6"/>
      <c r="Y13" s="6"/>
      <c r="Z13" s="6"/>
      <c r="AA13" s="6"/>
      <c r="AB13" s="6"/>
      <c r="AC13" s="6"/>
      <c r="AD13" s="30"/>
      <c r="AE13" s="31"/>
      <c r="AF13" s="32"/>
      <c r="AG13" s="6"/>
      <c r="AH13" s="6"/>
      <c r="AI13" s="6"/>
      <c r="AJ13" s="6"/>
      <c r="AK13" s="6"/>
      <c r="AL13" s="6"/>
      <c r="AM13" s="6"/>
      <c r="AN13" s="6"/>
      <c r="AO13" s="6"/>
      <c r="AP13" s="6"/>
      <c r="AQ13" s="6"/>
      <c r="AR13" s="30"/>
      <c r="AS13" s="31"/>
      <c r="AT13" s="32"/>
      <c r="AU13" s="6"/>
      <c r="AV13" s="6"/>
      <c r="AW13" s="6"/>
      <c r="AX13" s="6"/>
      <c r="AY13" s="6"/>
      <c r="AZ13" s="6"/>
      <c r="BA13" s="6"/>
      <c r="BB13" s="6"/>
      <c r="BC13" s="6"/>
    </row>
    <row r="14" spans="1:55" x14ac:dyDescent="0.25">
      <c r="A14" s="2" t="s">
        <v>15</v>
      </c>
      <c r="B14" s="3">
        <v>1</v>
      </c>
      <c r="C14" s="6"/>
      <c r="D14" s="6"/>
      <c r="E14" s="6"/>
      <c r="F14" s="6"/>
      <c r="G14" s="30"/>
      <c r="H14" s="31"/>
      <c r="I14" s="32"/>
      <c r="J14" s="6"/>
      <c r="K14" s="6"/>
      <c r="L14" s="6"/>
      <c r="M14" s="6"/>
      <c r="N14" s="6"/>
      <c r="O14" s="6"/>
      <c r="P14" s="6"/>
      <c r="Q14" s="6"/>
      <c r="R14" s="30"/>
      <c r="S14" s="31"/>
      <c r="T14" s="32"/>
      <c r="U14" s="6"/>
      <c r="V14" s="6"/>
      <c r="W14" s="6"/>
      <c r="X14" s="6"/>
      <c r="Y14" s="6"/>
      <c r="Z14" s="6"/>
      <c r="AA14" s="6"/>
      <c r="AB14" s="6"/>
      <c r="AC14" s="6"/>
      <c r="AD14" s="30"/>
      <c r="AE14" s="31"/>
      <c r="AF14" s="32"/>
      <c r="AG14" s="6"/>
      <c r="AH14" s="6"/>
      <c r="AI14" s="6"/>
      <c r="AJ14" s="6"/>
      <c r="AK14" s="6"/>
      <c r="AL14" s="6"/>
      <c r="AM14" s="6"/>
      <c r="AN14" s="6"/>
      <c r="AO14" s="6"/>
      <c r="AP14" s="6"/>
      <c r="AQ14" s="6"/>
      <c r="AR14" s="30"/>
      <c r="AS14" s="31"/>
      <c r="AT14" s="32"/>
      <c r="AU14" s="6"/>
      <c r="AV14" s="6"/>
      <c r="AW14" s="6"/>
      <c r="AX14" s="6"/>
      <c r="AY14" s="6"/>
      <c r="AZ14" s="6"/>
      <c r="BA14" s="6"/>
      <c r="BB14" s="6"/>
      <c r="BC14" s="6"/>
    </row>
    <row r="15" spans="1:55" ht="15.75" thickBot="1" x14ac:dyDescent="0.3">
      <c r="A15" s="1" t="s">
        <v>16</v>
      </c>
      <c r="B15" s="4"/>
      <c r="C15" s="6"/>
      <c r="D15" s="6"/>
      <c r="E15" s="6"/>
      <c r="F15" s="6"/>
      <c r="G15" s="33"/>
      <c r="H15" s="34"/>
      <c r="I15" s="35"/>
      <c r="J15" s="6"/>
      <c r="K15" s="6"/>
      <c r="L15" s="6"/>
      <c r="M15" s="6"/>
      <c r="N15" s="6"/>
      <c r="O15" s="6"/>
      <c r="P15" s="6"/>
      <c r="Q15" s="6"/>
      <c r="R15" s="33"/>
      <c r="S15" s="34"/>
      <c r="T15" s="35"/>
      <c r="U15" s="6"/>
      <c r="V15" s="6"/>
      <c r="W15" s="6"/>
      <c r="X15" s="6"/>
      <c r="Y15" s="6"/>
      <c r="Z15" s="6"/>
      <c r="AA15" s="6"/>
      <c r="AB15" s="6"/>
      <c r="AC15" s="6"/>
      <c r="AD15" s="33"/>
      <c r="AE15" s="34"/>
      <c r="AF15" s="35"/>
      <c r="AG15" s="6"/>
      <c r="AH15" s="6"/>
      <c r="AI15" s="6"/>
      <c r="AJ15" s="6"/>
      <c r="AK15" s="6"/>
      <c r="AL15" s="6"/>
      <c r="AM15" s="6"/>
      <c r="AN15" s="6"/>
      <c r="AO15" s="6"/>
      <c r="AP15" s="6"/>
      <c r="AQ15" s="6"/>
      <c r="AR15" s="33"/>
      <c r="AS15" s="34"/>
      <c r="AT15" s="35"/>
      <c r="AU15" s="6"/>
      <c r="AV15" s="6"/>
      <c r="AW15" s="6"/>
      <c r="AX15" s="6"/>
      <c r="AY15" s="6"/>
      <c r="AZ15" s="6"/>
      <c r="BA15" s="6"/>
      <c r="BB15" s="6"/>
      <c r="BC15" s="6"/>
    </row>
    <row r="16" spans="1:55" x14ac:dyDescent="0.25">
      <c r="A16" s="2" t="s">
        <v>17</v>
      </c>
      <c r="B16" s="3" t="b">
        <v>0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6"/>
      <c r="AK16" s="6"/>
      <c r="AL16" s="6"/>
      <c r="AM16" s="6"/>
      <c r="AN16" s="6"/>
      <c r="AO16" s="6"/>
      <c r="AP16" s="6"/>
      <c r="AQ16" s="6"/>
      <c r="AR16" s="6"/>
      <c r="AS16" s="6"/>
      <c r="AT16" s="6"/>
      <c r="AU16" s="6"/>
      <c r="AV16" s="6"/>
      <c r="AW16" s="6"/>
      <c r="AX16" s="6"/>
      <c r="AY16" s="6"/>
      <c r="AZ16" s="6"/>
      <c r="BA16" s="6"/>
      <c r="BB16" s="6"/>
      <c r="BC16" s="6"/>
    </row>
    <row r="17" spans="1:55" x14ac:dyDescent="0.25">
      <c r="A17" s="2" t="s">
        <v>18</v>
      </c>
      <c r="B17" s="3">
        <v>1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6"/>
      <c r="AK17" s="6"/>
      <c r="AL17" s="6"/>
      <c r="AM17" s="6"/>
      <c r="AN17" s="6"/>
      <c r="AO17" s="6"/>
      <c r="AP17" s="6"/>
      <c r="AQ17" s="6"/>
      <c r="AR17" s="6"/>
      <c r="AS17" s="6"/>
      <c r="AT17" s="6"/>
      <c r="AU17" s="6"/>
      <c r="AV17" s="6"/>
      <c r="AW17" s="6"/>
      <c r="AX17" s="6"/>
      <c r="AY17" s="6"/>
      <c r="AZ17" s="6"/>
      <c r="BA17" s="6"/>
      <c r="BB17" s="6"/>
      <c r="BC17" s="6"/>
    </row>
    <row r="18" spans="1:55" x14ac:dyDescent="0.25">
      <c r="A18" s="2" t="s">
        <v>19</v>
      </c>
      <c r="B18" s="3" t="str">
        <f ca="1">IFERROR(MATCH(AR4,Reminders,0)+3,"")</f>
        <v/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6"/>
      <c r="AK18" s="6"/>
      <c r="AL18" s="6"/>
      <c r="AM18" s="6"/>
      <c r="AN18" s="6"/>
      <c r="AO18" s="6"/>
      <c r="AP18" s="6"/>
      <c r="AQ18" s="6"/>
      <c r="AR18" s="6"/>
      <c r="AS18" s="6"/>
      <c r="AT18" s="6"/>
      <c r="AU18" s="6"/>
      <c r="AV18" s="6"/>
      <c r="AW18" s="6"/>
      <c r="AX18" s="6"/>
      <c r="AY18" s="6"/>
      <c r="AZ18" s="6"/>
      <c r="BA18" s="6"/>
      <c r="BB18" s="6"/>
      <c r="BC18" s="6"/>
    </row>
    <row r="19" spans="1:55" x14ac:dyDescent="0.25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6"/>
      <c r="AK19" s="6"/>
      <c r="AL19" s="6"/>
      <c r="AM19" s="6"/>
      <c r="AN19" s="6"/>
      <c r="AO19" s="6"/>
      <c r="AP19" s="6"/>
      <c r="AQ19" s="6"/>
      <c r="AR19" s="6"/>
      <c r="AS19" s="6"/>
      <c r="AT19" s="6"/>
      <c r="AU19" s="6"/>
      <c r="AV19" s="6"/>
      <c r="AW19" s="6"/>
      <c r="AX19" s="6"/>
      <c r="AY19" s="6"/>
      <c r="AZ19" s="6"/>
      <c r="BA19" s="6"/>
      <c r="BB19" s="6"/>
      <c r="BC19" s="6"/>
    </row>
    <row r="20" spans="1:55" x14ac:dyDescent="0.25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6"/>
      <c r="AK20" s="6"/>
      <c r="AL20" s="6"/>
      <c r="AM20" s="6"/>
      <c r="AN20" s="6"/>
      <c r="AO20" s="6"/>
      <c r="AP20" s="6"/>
      <c r="AQ20" s="6"/>
      <c r="AR20" s="6"/>
      <c r="AS20" s="6"/>
      <c r="AT20" s="6"/>
      <c r="AU20" s="6"/>
      <c r="AV20" s="6"/>
      <c r="AW20" s="6"/>
      <c r="AX20" s="6"/>
      <c r="AY20" s="6"/>
      <c r="AZ20" s="6"/>
      <c r="BA20" s="6"/>
      <c r="BB20" s="6"/>
      <c r="BC20" s="6"/>
    </row>
    <row r="21" spans="1:55" x14ac:dyDescent="0.25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6"/>
      <c r="AJ21" s="6"/>
      <c r="AK21" s="6"/>
      <c r="AL21" s="6"/>
      <c r="AM21" s="6"/>
      <c r="AN21" s="6"/>
      <c r="AO21" s="6"/>
      <c r="AP21" s="6"/>
      <c r="AQ21" s="6"/>
      <c r="AR21" s="6"/>
      <c r="AS21" s="6"/>
      <c r="AT21" s="6"/>
      <c r="AU21" s="6"/>
      <c r="AV21" s="6"/>
      <c r="AW21" s="6"/>
      <c r="AX21" s="6"/>
      <c r="AY21" s="6"/>
      <c r="AZ21" s="6"/>
      <c r="BA21" s="6"/>
      <c r="BB21" s="6"/>
      <c r="BC21" s="6"/>
    </row>
    <row r="22" spans="1:55" x14ac:dyDescent="0.25"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6"/>
      <c r="AK22" s="6"/>
      <c r="AL22" s="6"/>
      <c r="AM22" s="6"/>
      <c r="AN22" s="6"/>
      <c r="AO22" s="6"/>
      <c r="AP22" s="6"/>
      <c r="AQ22" s="6"/>
      <c r="AR22" s="6"/>
      <c r="AS22" s="6"/>
      <c r="AT22" s="6"/>
      <c r="AU22" s="6"/>
      <c r="AV22" s="6"/>
      <c r="AW22" s="6"/>
      <c r="AX22" s="6"/>
      <c r="AY22" s="6"/>
      <c r="AZ22" s="6"/>
      <c r="BA22" s="6"/>
      <c r="BB22" s="6"/>
      <c r="BC22" s="6"/>
    </row>
    <row r="23" spans="1:55" x14ac:dyDescent="0.25"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6"/>
      <c r="AJ23" s="6"/>
      <c r="AK23" s="6"/>
      <c r="AL23" s="6"/>
      <c r="AM23" s="6"/>
      <c r="AN23" s="6"/>
      <c r="AO23" s="6"/>
      <c r="AP23" s="6"/>
      <c r="AQ23" s="6"/>
      <c r="AR23" s="6"/>
      <c r="AS23" s="6"/>
      <c r="AT23" s="6"/>
      <c r="AU23" s="6"/>
      <c r="AV23" s="6"/>
      <c r="AW23" s="6"/>
      <c r="AX23" s="6"/>
      <c r="AY23" s="6"/>
      <c r="AZ23" s="6"/>
      <c r="BA23" s="6"/>
      <c r="BB23" s="6"/>
      <c r="BC23" s="6"/>
    </row>
    <row r="24" spans="1:55" x14ac:dyDescent="0.25"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6"/>
      <c r="AJ24" s="6"/>
      <c r="AK24" s="6"/>
      <c r="AL24" s="6"/>
      <c r="AM24" s="6"/>
      <c r="AN24" s="6"/>
      <c r="AO24" s="6"/>
      <c r="AP24" s="6"/>
      <c r="AQ24" s="6"/>
      <c r="AR24" s="6"/>
      <c r="AS24" s="6"/>
      <c r="AT24" s="6"/>
      <c r="AU24" s="6"/>
      <c r="AV24" s="6"/>
      <c r="AW24" s="6"/>
      <c r="AX24" s="6"/>
      <c r="AY24" s="6"/>
      <c r="AZ24" s="6"/>
      <c r="BA24" s="6"/>
      <c r="BB24" s="6"/>
      <c r="BC24" s="6"/>
    </row>
    <row r="25" spans="1:55" x14ac:dyDescent="0.25"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6"/>
      <c r="AK25" s="6"/>
      <c r="AL25" s="6"/>
      <c r="AM25" s="6"/>
      <c r="AN25" s="6"/>
      <c r="AO25" s="6"/>
      <c r="AP25" s="6"/>
      <c r="AQ25" s="6"/>
      <c r="AR25" s="6"/>
      <c r="AS25" s="6"/>
      <c r="AT25" s="6"/>
      <c r="AU25" s="6"/>
      <c r="AV25" s="6"/>
      <c r="AW25" s="6"/>
      <c r="AX25" s="6"/>
      <c r="AY25" s="6"/>
      <c r="AZ25" s="6"/>
      <c r="BA25" s="6"/>
      <c r="BB25" s="6"/>
      <c r="BC25" s="6"/>
    </row>
    <row r="26" spans="1:55" x14ac:dyDescent="0.25"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6"/>
      <c r="AK26" s="6"/>
      <c r="AL26" s="6"/>
      <c r="AM26" s="6"/>
      <c r="AN26" s="6"/>
      <c r="AO26" s="6"/>
      <c r="AP26" s="6"/>
      <c r="AQ26" s="6"/>
      <c r="AR26" s="6"/>
      <c r="AS26" s="6"/>
      <c r="AT26" s="6"/>
      <c r="AU26" s="6"/>
      <c r="AV26" s="6"/>
      <c r="AW26" s="6"/>
      <c r="AX26" s="6"/>
      <c r="AY26" s="6"/>
      <c r="AZ26" s="6"/>
      <c r="BA26" s="6"/>
      <c r="BB26" s="6"/>
      <c r="BC26" s="6"/>
    </row>
    <row r="27" spans="1:55" x14ac:dyDescent="0.25"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6"/>
      <c r="AK27" s="6"/>
      <c r="AL27" s="6"/>
      <c r="AM27" s="6"/>
      <c r="AN27" s="6"/>
      <c r="AO27" s="6"/>
      <c r="AP27" s="6"/>
      <c r="AQ27" s="6"/>
      <c r="AR27" s="6"/>
      <c r="AS27" s="6"/>
      <c r="AT27" s="6"/>
      <c r="AU27" s="6"/>
      <c r="AV27" s="6"/>
      <c r="AW27" s="6"/>
      <c r="AX27" s="6"/>
      <c r="AY27" s="6"/>
      <c r="AZ27" s="6"/>
      <c r="BA27" s="6"/>
      <c r="BB27" s="6"/>
      <c r="BC27" s="6"/>
    </row>
    <row r="28" spans="1:55" x14ac:dyDescent="0.25"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/>
      <c r="AO28" s="6"/>
      <c r="AP28" s="6"/>
      <c r="AQ28" s="6"/>
      <c r="AR28" s="6"/>
      <c r="AS28" s="6"/>
      <c r="AT28" s="6"/>
      <c r="AU28" s="6"/>
      <c r="AV28" s="6"/>
      <c r="AW28" s="6"/>
      <c r="AX28" s="6"/>
      <c r="AY28" s="6"/>
      <c r="AZ28" s="6"/>
      <c r="BA28" s="6"/>
      <c r="BB28" s="6"/>
      <c r="BC28" s="6"/>
    </row>
    <row r="29" spans="1:55" x14ac:dyDescent="0.25"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/>
      <c r="AN29" s="6"/>
      <c r="AO29" s="6"/>
      <c r="AP29" s="6"/>
      <c r="AQ29" s="6"/>
      <c r="AR29" s="6"/>
      <c r="AS29" s="6"/>
      <c r="AT29" s="6"/>
      <c r="AU29" s="6"/>
      <c r="AV29" s="6"/>
      <c r="AW29" s="6"/>
      <c r="AX29" s="6"/>
      <c r="AY29" s="6"/>
      <c r="AZ29" s="6"/>
      <c r="BA29" s="6"/>
      <c r="BB29" s="6"/>
      <c r="BC29" s="6"/>
    </row>
    <row r="30" spans="1:55" x14ac:dyDescent="0.25"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6"/>
      <c r="AJ30" s="6"/>
      <c r="AK30" s="6"/>
      <c r="AL30" s="6"/>
      <c r="AM30" s="6"/>
      <c r="AN30" s="6"/>
      <c r="AO30" s="6"/>
      <c r="AP30" s="6"/>
      <c r="AQ30" s="6"/>
      <c r="AR30" s="6"/>
      <c r="AS30" s="6"/>
      <c r="AT30" s="6"/>
      <c r="AU30" s="6"/>
      <c r="AV30" s="6"/>
      <c r="AW30" s="6"/>
      <c r="AX30" s="6"/>
      <c r="AY30" s="6"/>
      <c r="AZ30" s="6"/>
      <c r="BA30" s="6"/>
      <c r="BB30" s="6"/>
      <c r="BC30" s="6"/>
    </row>
    <row r="31" spans="1:55" x14ac:dyDescent="0.25"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6"/>
      <c r="AK31" s="6"/>
      <c r="AL31" s="6"/>
      <c r="AM31" s="6"/>
      <c r="AN31" s="6"/>
      <c r="AO31" s="6"/>
      <c r="AP31" s="6"/>
      <c r="AQ31" s="6"/>
      <c r="AR31" s="6"/>
      <c r="AS31" s="6"/>
      <c r="AT31" s="6"/>
      <c r="AU31" s="6"/>
      <c r="AV31" s="6"/>
      <c r="AW31" s="6"/>
      <c r="AX31" s="6"/>
      <c r="AY31" s="6"/>
      <c r="AZ31" s="6"/>
      <c r="BA31" s="6"/>
      <c r="BB31" s="6"/>
      <c r="BC31" s="6"/>
    </row>
    <row r="32" spans="1:55" x14ac:dyDescent="0.25"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6"/>
      <c r="AJ32" s="6"/>
      <c r="AK32" s="6"/>
      <c r="AL32" s="6"/>
      <c r="AM32" s="6"/>
      <c r="AN32" s="6"/>
      <c r="AO32" s="6"/>
      <c r="AP32" s="6"/>
      <c r="AQ32" s="6"/>
      <c r="AR32" s="6"/>
      <c r="AS32" s="6"/>
      <c r="AT32" s="6"/>
      <c r="AU32" s="6"/>
      <c r="AV32" s="6"/>
      <c r="AW32" s="6"/>
      <c r="AX32" s="6"/>
      <c r="AY32" s="6"/>
      <c r="AZ32" s="6"/>
      <c r="BA32" s="6"/>
      <c r="BB32" s="6"/>
      <c r="BC32" s="6"/>
    </row>
    <row r="33" spans="3:55" x14ac:dyDescent="0.25"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6"/>
      <c r="AJ33" s="6"/>
      <c r="AK33" s="6"/>
      <c r="AL33" s="6"/>
      <c r="AM33" s="6"/>
      <c r="AN33" s="6"/>
      <c r="AO33" s="6"/>
      <c r="AP33" s="6"/>
      <c r="AQ33" s="6"/>
      <c r="AR33" s="6"/>
      <c r="AS33" s="6"/>
      <c r="AT33" s="6"/>
      <c r="AU33" s="6"/>
      <c r="AV33" s="6"/>
      <c r="AW33" s="6"/>
      <c r="AX33" s="6"/>
      <c r="AY33" s="6"/>
      <c r="AZ33" s="6"/>
      <c r="BA33" s="6"/>
      <c r="BB33" s="6"/>
      <c r="BC33" s="6"/>
    </row>
    <row r="34" spans="3:55" x14ac:dyDescent="0.25">
      <c r="C34" s="6"/>
      <c r="D34" s="6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6"/>
      <c r="AJ34" s="6"/>
      <c r="AK34" s="6"/>
      <c r="AL34" s="6"/>
      <c r="AM34" s="6"/>
      <c r="AN34" s="6"/>
      <c r="AO34" s="6"/>
      <c r="AP34" s="6"/>
      <c r="AQ34" s="6"/>
      <c r="AR34" s="6"/>
      <c r="AS34" s="6"/>
      <c r="AT34" s="6"/>
      <c r="AU34" s="6"/>
      <c r="AV34" s="6"/>
      <c r="AW34" s="6"/>
      <c r="AX34" s="6"/>
      <c r="AY34" s="6"/>
      <c r="AZ34" s="6"/>
      <c r="BA34" s="6"/>
      <c r="BB34" s="6"/>
      <c r="BC34" s="6"/>
    </row>
    <row r="35" spans="3:55" x14ac:dyDescent="0.25"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6"/>
      <c r="AJ35" s="6"/>
      <c r="AK35" s="6"/>
      <c r="AL35" s="6"/>
      <c r="AM35" s="6"/>
      <c r="AN35" s="6"/>
      <c r="AO35" s="6"/>
      <c r="AP35" s="6"/>
      <c r="AQ35" s="6"/>
      <c r="AR35" s="6"/>
      <c r="AS35" s="6"/>
      <c r="AT35" s="6"/>
      <c r="AU35" s="6"/>
      <c r="AV35" s="6"/>
      <c r="AW35" s="6"/>
      <c r="AX35" s="6"/>
      <c r="AY35" s="6"/>
      <c r="AZ35" s="6"/>
      <c r="BA35" s="6"/>
      <c r="BB35" s="6"/>
      <c r="BC35" s="6"/>
    </row>
    <row r="36" spans="3:55" x14ac:dyDescent="0.25"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</row>
    <row r="37" spans="3:55" x14ac:dyDescent="0.25"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6"/>
      <c r="AJ37" s="6"/>
      <c r="AK37" s="6"/>
      <c r="AL37" s="6"/>
      <c r="AM37" s="6"/>
      <c r="AN37" s="6"/>
      <c r="AO37" s="6"/>
      <c r="AP37" s="6"/>
      <c r="AQ37" s="6"/>
      <c r="AR37" s="6"/>
      <c r="AS37" s="6"/>
      <c r="AT37" s="6"/>
      <c r="AU37" s="6"/>
      <c r="AV37" s="6"/>
      <c r="AW37" s="6"/>
      <c r="AX37" s="6"/>
      <c r="AY37" s="6"/>
      <c r="AZ37" s="6"/>
      <c r="BA37" s="6"/>
      <c r="BB37" s="6"/>
      <c r="BC37" s="6"/>
    </row>
    <row r="38" spans="3:55" x14ac:dyDescent="0.25">
      <c r="C38" s="6"/>
      <c r="D38" s="6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6"/>
      <c r="AK38" s="6"/>
      <c r="AL38" s="6"/>
      <c r="AM38" s="6"/>
      <c r="AN38" s="6"/>
      <c r="AO38" s="6"/>
      <c r="AP38" s="6"/>
      <c r="AQ38" s="6"/>
      <c r="AR38" s="6"/>
      <c r="AS38" s="6"/>
      <c r="AT38" s="6"/>
      <c r="AU38" s="6"/>
      <c r="AV38" s="6"/>
      <c r="AW38" s="6"/>
      <c r="AX38" s="6"/>
      <c r="AY38" s="6"/>
      <c r="AZ38" s="6"/>
      <c r="BA38" s="6"/>
      <c r="BB38" s="6"/>
      <c r="BC38" s="6"/>
    </row>
    <row r="39" spans="3:55" x14ac:dyDescent="0.25">
      <c r="C39" s="6"/>
      <c r="D39" s="6"/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6"/>
      <c r="Q39" s="6"/>
      <c r="R39" s="6"/>
      <c r="S39" s="6"/>
      <c r="T39" s="6"/>
      <c r="U39" s="6"/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6"/>
      <c r="AK39" s="6"/>
      <c r="AL39" s="6"/>
      <c r="AM39" s="6"/>
      <c r="AN39" s="6"/>
      <c r="AO39" s="6"/>
      <c r="AP39" s="6"/>
      <c r="AQ39" s="6"/>
      <c r="AR39" s="6"/>
      <c r="AS39" s="6"/>
      <c r="AT39" s="6"/>
      <c r="AU39" s="6"/>
      <c r="AV39" s="6"/>
      <c r="AW39" s="6"/>
      <c r="AX39" s="6"/>
      <c r="AY39" s="6"/>
      <c r="AZ39" s="6"/>
      <c r="BA39" s="6"/>
      <c r="BB39" s="6"/>
      <c r="BC39" s="6"/>
    </row>
    <row r="40" spans="3:55" x14ac:dyDescent="0.25">
      <c r="C40" s="6"/>
      <c r="D40" s="6"/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6"/>
      <c r="Q40" s="6"/>
      <c r="R40" s="6"/>
      <c r="S40" s="6"/>
      <c r="T40" s="6"/>
      <c r="U40" s="6"/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6"/>
      <c r="AK40" s="6"/>
      <c r="AL40" s="6"/>
      <c r="AM40" s="6"/>
      <c r="AN40" s="6"/>
      <c r="AO40" s="6"/>
      <c r="AP40" s="6"/>
      <c r="AQ40" s="6"/>
      <c r="AR40" s="6"/>
      <c r="AS40" s="6"/>
      <c r="AT40" s="6"/>
      <c r="AU40" s="6"/>
      <c r="AV40" s="6"/>
      <c r="AW40" s="6"/>
      <c r="AX40" s="6"/>
      <c r="AY40" s="6"/>
      <c r="AZ40" s="6"/>
      <c r="BA40" s="6"/>
      <c r="BB40" s="6"/>
      <c r="BC40" s="6"/>
    </row>
    <row r="41" spans="3:55" x14ac:dyDescent="0.25">
      <c r="C41" s="6"/>
      <c r="D41" s="6"/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6"/>
      <c r="AK41" s="6"/>
      <c r="AL41" s="6"/>
      <c r="AM41" s="6"/>
      <c r="AN41" s="6"/>
      <c r="AO41" s="6"/>
      <c r="AP41" s="6"/>
      <c r="AQ41" s="6"/>
      <c r="AR41" s="6"/>
      <c r="AS41" s="6"/>
      <c r="AT41" s="6"/>
      <c r="AU41" s="6"/>
      <c r="AV41" s="6"/>
      <c r="AW41" s="6"/>
      <c r="AX41" s="6"/>
      <c r="AY41" s="6"/>
      <c r="AZ41" s="6"/>
      <c r="BA41" s="6"/>
      <c r="BB41" s="6"/>
      <c r="BC41" s="6"/>
    </row>
    <row r="42" spans="3:55" x14ac:dyDescent="0.25"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6"/>
      <c r="Q42" s="6"/>
      <c r="R42" s="6"/>
      <c r="S42" s="6"/>
      <c r="T42" s="6"/>
      <c r="U42" s="6"/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6"/>
      <c r="AK42" s="6"/>
      <c r="AL42" s="6"/>
      <c r="AM42" s="6"/>
      <c r="AN42" s="6"/>
      <c r="AO42" s="6"/>
      <c r="AP42" s="6"/>
      <c r="AQ42" s="6"/>
      <c r="AR42" s="6"/>
      <c r="AS42" s="6"/>
      <c r="AT42" s="6"/>
      <c r="AU42" s="6"/>
      <c r="AV42" s="6"/>
      <c r="AW42" s="6"/>
      <c r="AX42" s="6"/>
      <c r="AY42" s="6"/>
      <c r="AZ42" s="6"/>
      <c r="BA42" s="6"/>
      <c r="BB42" s="6"/>
      <c r="BC42" s="6"/>
    </row>
    <row r="43" spans="3:55" x14ac:dyDescent="0.25"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6"/>
      <c r="Q43" s="6"/>
      <c r="R43" s="6"/>
      <c r="S43" s="6"/>
      <c r="T43" s="6"/>
      <c r="U43" s="6"/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6"/>
      <c r="AK43" s="6"/>
      <c r="AL43" s="6"/>
      <c r="AM43" s="6"/>
      <c r="AN43" s="6"/>
      <c r="AO43" s="6"/>
      <c r="AP43" s="6"/>
      <c r="AQ43" s="6"/>
      <c r="AR43" s="6"/>
      <c r="AS43" s="6"/>
      <c r="AT43" s="6"/>
      <c r="AU43" s="6"/>
      <c r="AV43" s="6"/>
      <c r="AW43" s="6"/>
      <c r="AX43" s="6"/>
      <c r="AY43" s="6"/>
      <c r="AZ43" s="6"/>
      <c r="BA43" s="6"/>
      <c r="BB43" s="6"/>
      <c r="BC43" s="6"/>
    </row>
    <row r="44" spans="3:55" x14ac:dyDescent="0.2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  <c r="Z44" s="6"/>
      <c r="AA44" s="6"/>
      <c r="AB44" s="6"/>
      <c r="AC44" s="6"/>
      <c r="AD44" s="6"/>
      <c r="AE44" s="6"/>
      <c r="AF44" s="6"/>
      <c r="AG44" s="6"/>
      <c r="AH44" s="6"/>
      <c r="AI44" s="6"/>
      <c r="AJ44" s="6"/>
      <c r="AK44" s="6"/>
      <c r="AL44" s="6"/>
      <c r="AM44" s="6"/>
      <c r="AN44" s="6"/>
      <c r="AO44" s="6"/>
      <c r="AP44" s="6"/>
      <c r="AQ44" s="6"/>
      <c r="AR44" s="6"/>
      <c r="AS44" s="6"/>
      <c r="AT44" s="6"/>
      <c r="AU44" s="6"/>
      <c r="AV44" s="6"/>
      <c r="AW44" s="6"/>
      <c r="AX44" s="6"/>
      <c r="AY44" s="6"/>
      <c r="AZ44" s="6"/>
      <c r="BA44" s="6"/>
      <c r="BB44" s="6"/>
      <c r="BC44" s="6"/>
    </row>
    <row r="45" spans="3:55" x14ac:dyDescent="0.25"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6"/>
      <c r="Q45" s="6"/>
      <c r="R45" s="6"/>
      <c r="S45" s="6"/>
      <c r="T45" s="6"/>
      <c r="U45" s="6"/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6"/>
      <c r="AK45" s="6"/>
      <c r="AL45" s="6"/>
      <c r="AM45" s="6"/>
      <c r="AN45" s="6"/>
      <c r="AO45" s="6"/>
      <c r="AP45" s="6"/>
      <c r="AQ45" s="6"/>
      <c r="AR45" s="6"/>
      <c r="AS45" s="6"/>
      <c r="AT45" s="6"/>
      <c r="AU45" s="6"/>
      <c r="AV45" s="6"/>
      <c r="AW45" s="6"/>
      <c r="AX45" s="6"/>
      <c r="AY45" s="6"/>
      <c r="AZ45" s="6"/>
      <c r="BA45" s="6"/>
      <c r="BB45" s="6"/>
      <c r="BC45" s="6"/>
    </row>
    <row r="46" spans="3:55" x14ac:dyDescent="0.25"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6"/>
      <c r="AJ46" s="6"/>
      <c r="AK46" s="6"/>
      <c r="AL46" s="6"/>
      <c r="AM46" s="6"/>
      <c r="AN46" s="6"/>
      <c r="AO46" s="6"/>
      <c r="AP46" s="6"/>
      <c r="AQ46" s="6"/>
      <c r="AR46" s="6"/>
      <c r="AS46" s="6"/>
      <c r="AT46" s="6"/>
      <c r="AU46" s="6"/>
      <c r="AV46" s="6"/>
      <c r="AW46" s="6"/>
      <c r="AX46" s="6"/>
      <c r="AY46" s="6"/>
      <c r="AZ46" s="6"/>
      <c r="BA46" s="6"/>
      <c r="BB46" s="6"/>
      <c r="BC46" s="6"/>
    </row>
    <row r="47" spans="3:55" x14ac:dyDescent="0.25"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6"/>
      <c r="AK47" s="6"/>
      <c r="AL47" s="6"/>
      <c r="AM47" s="6"/>
      <c r="AN47" s="6"/>
      <c r="AO47" s="6"/>
      <c r="AP47" s="6"/>
      <c r="AQ47" s="6"/>
      <c r="AR47" s="6"/>
      <c r="AS47" s="6"/>
      <c r="AT47" s="6"/>
      <c r="AU47" s="6"/>
      <c r="AV47" s="6"/>
      <c r="AW47" s="6"/>
      <c r="AX47" s="6"/>
      <c r="AY47" s="6"/>
      <c r="AZ47" s="6"/>
      <c r="BA47" s="6"/>
      <c r="BB47" s="6"/>
      <c r="BC47" s="6"/>
    </row>
    <row r="48" spans="3:55" x14ac:dyDescent="0.25"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6"/>
      <c r="AJ48" s="6"/>
      <c r="AK48" s="6"/>
      <c r="AL48" s="6"/>
      <c r="AM48" s="6"/>
      <c r="AN48" s="6"/>
      <c r="AO48" s="6"/>
      <c r="AP48" s="6"/>
      <c r="AQ48" s="6"/>
      <c r="AR48" s="6"/>
      <c r="AS48" s="6"/>
      <c r="AT48" s="6"/>
      <c r="AU48" s="6"/>
      <c r="AV48" s="6"/>
      <c r="AW48" s="6"/>
      <c r="AX48" s="6"/>
      <c r="AY48" s="6"/>
      <c r="AZ48" s="6"/>
      <c r="BA48" s="6"/>
      <c r="BB48" s="6"/>
      <c r="BC48" s="6"/>
    </row>
    <row r="49" spans="3:55" x14ac:dyDescent="0.25"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6"/>
      <c r="AJ49" s="6"/>
      <c r="AK49" s="6"/>
      <c r="AL49" s="6"/>
      <c r="AM49" s="6"/>
      <c r="AN49" s="6"/>
      <c r="AO49" s="6"/>
      <c r="AP49" s="6"/>
      <c r="AQ49" s="6"/>
      <c r="AR49" s="6"/>
      <c r="AS49" s="6"/>
      <c r="AT49" s="6"/>
      <c r="AU49" s="6"/>
      <c r="AV49" s="6"/>
      <c r="AW49" s="6"/>
      <c r="AX49" s="6"/>
      <c r="AY49" s="6"/>
      <c r="AZ49" s="6"/>
      <c r="BA49" s="6"/>
      <c r="BB49" s="6"/>
      <c r="BC49" s="6"/>
    </row>
    <row r="50" spans="3:55" x14ac:dyDescent="0.25"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6"/>
      <c r="AJ50" s="6"/>
      <c r="AK50" s="6"/>
      <c r="AL50" s="6"/>
      <c r="AM50" s="6"/>
      <c r="AN50" s="6"/>
      <c r="AO50" s="6"/>
      <c r="AP50" s="6"/>
      <c r="AQ50" s="6"/>
      <c r="AR50" s="6"/>
      <c r="AS50" s="6"/>
      <c r="AT50" s="6"/>
      <c r="AU50" s="6"/>
      <c r="AV50" s="6"/>
      <c r="AW50" s="6"/>
      <c r="AX50" s="6"/>
      <c r="AY50" s="6"/>
      <c r="AZ50" s="6"/>
      <c r="BA50" s="6"/>
      <c r="BB50" s="6"/>
      <c r="BC50" s="6"/>
    </row>
    <row r="51" spans="3:55" x14ac:dyDescent="0.25"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6"/>
      <c r="AJ51" s="6"/>
      <c r="AK51" s="6"/>
      <c r="AL51" s="6"/>
      <c r="AM51" s="6"/>
      <c r="AN51" s="6"/>
      <c r="AO51" s="6"/>
      <c r="AP51" s="6"/>
      <c r="AQ51" s="6"/>
      <c r="AR51" s="6"/>
      <c r="AS51" s="6"/>
      <c r="AT51" s="6"/>
      <c r="AU51" s="6"/>
      <c r="AV51" s="6"/>
      <c r="AW51" s="6"/>
      <c r="AX51" s="6"/>
      <c r="AY51" s="6"/>
      <c r="AZ51" s="6"/>
      <c r="BA51" s="6"/>
      <c r="BB51" s="6"/>
      <c r="BC51" s="6"/>
    </row>
    <row r="52" spans="3:55" x14ac:dyDescent="0.25"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6"/>
      <c r="AJ52" s="6"/>
      <c r="AK52" s="6"/>
      <c r="AL52" s="6"/>
      <c r="AM52" s="6"/>
      <c r="AN52" s="6"/>
      <c r="AO52" s="6"/>
      <c r="AP52" s="6"/>
      <c r="AQ52" s="6"/>
      <c r="AR52" s="6"/>
      <c r="AS52" s="6"/>
      <c r="AT52" s="6"/>
      <c r="AU52" s="6"/>
      <c r="AV52" s="6"/>
      <c r="AW52" s="6"/>
      <c r="AX52" s="6"/>
      <c r="AY52" s="6"/>
      <c r="AZ52" s="6"/>
      <c r="BA52" s="6"/>
      <c r="BB52" s="6"/>
      <c r="BC52" s="6"/>
    </row>
    <row r="53" spans="3:55" x14ac:dyDescent="0.25"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6"/>
      <c r="AK53" s="6"/>
      <c r="AL53" s="6"/>
      <c r="AM53" s="6"/>
      <c r="AN53" s="6"/>
      <c r="AO53" s="6"/>
      <c r="AP53" s="6"/>
      <c r="AQ53" s="6"/>
      <c r="AR53" s="6"/>
      <c r="AS53" s="6"/>
      <c r="AT53" s="6"/>
      <c r="AU53" s="6"/>
      <c r="AV53" s="6"/>
      <c r="AW53" s="6"/>
      <c r="AX53" s="6"/>
      <c r="AY53" s="6"/>
      <c r="AZ53" s="6"/>
      <c r="BA53" s="6"/>
      <c r="BB53" s="6"/>
      <c r="BC53" s="6"/>
    </row>
    <row r="54" spans="3:55" x14ac:dyDescent="0.25"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6"/>
      <c r="AJ54" s="6"/>
      <c r="AK54" s="6"/>
      <c r="AL54" s="6"/>
      <c r="AM54" s="6"/>
      <c r="AN54" s="6"/>
      <c r="AO54" s="6"/>
      <c r="AP54" s="6"/>
      <c r="AQ54" s="6"/>
      <c r="AR54" s="6"/>
      <c r="AS54" s="6"/>
      <c r="AT54" s="6"/>
      <c r="AU54" s="6"/>
      <c r="AV54" s="6"/>
      <c r="AW54" s="6"/>
      <c r="AX54" s="6"/>
      <c r="AY54" s="6"/>
      <c r="AZ54" s="6"/>
      <c r="BA54" s="6"/>
      <c r="BB54" s="6"/>
      <c r="BC54" s="6"/>
    </row>
    <row r="55" spans="3:55" x14ac:dyDescent="0.25"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6"/>
      <c r="AJ55" s="6"/>
      <c r="AK55" s="6"/>
      <c r="AL55" s="6"/>
      <c r="AM55" s="6"/>
      <c r="AN55" s="6"/>
      <c r="AO55" s="6"/>
      <c r="AP55" s="6"/>
      <c r="AQ55" s="6"/>
      <c r="AR55" s="6"/>
      <c r="AS55" s="6"/>
      <c r="AT55" s="6"/>
      <c r="AU55" s="6"/>
      <c r="AV55" s="6"/>
      <c r="AW55" s="6"/>
      <c r="AX55" s="6"/>
      <c r="AY55" s="6"/>
      <c r="AZ55" s="6"/>
      <c r="BA55" s="6"/>
      <c r="BB55" s="6"/>
      <c r="BC55" s="6"/>
    </row>
    <row r="56" spans="3:55" x14ac:dyDescent="0.25"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6"/>
      <c r="AJ56" s="6"/>
      <c r="AK56" s="6"/>
      <c r="AL56" s="6"/>
      <c r="AM56" s="6"/>
      <c r="AN56" s="6"/>
      <c r="AO56" s="6"/>
      <c r="AP56" s="6"/>
      <c r="AQ56" s="6"/>
      <c r="AR56" s="6"/>
      <c r="AS56" s="6"/>
      <c r="AT56" s="6"/>
      <c r="AU56" s="6"/>
      <c r="AV56" s="6"/>
      <c r="AW56" s="6"/>
      <c r="AX56" s="6"/>
      <c r="AY56" s="6"/>
      <c r="AZ56" s="6"/>
      <c r="BA56" s="6"/>
      <c r="BB56" s="6"/>
      <c r="BC56" s="6"/>
    </row>
    <row r="57" spans="3:55" x14ac:dyDescent="0.25"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6"/>
      <c r="AJ57" s="6"/>
      <c r="AK57" s="6"/>
      <c r="AL57" s="6"/>
      <c r="AM57" s="6"/>
      <c r="AN57" s="6"/>
      <c r="AO57" s="6"/>
      <c r="AP57" s="6"/>
      <c r="AQ57" s="6"/>
      <c r="AR57" s="6"/>
      <c r="AS57" s="6"/>
      <c r="AT57" s="6"/>
      <c r="AU57" s="6"/>
      <c r="AV57" s="6"/>
      <c r="AW57" s="6"/>
      <c r="AX57" s="6"/>
      <c r="AY57" s="6"/>
      <c r="AZ57" s="6"/>
      <c r="BA57" s="6"/>
      <c r="BB57" s="6"/>
      <c r="BC57" s="6"/>
    </row>
    <row r="58" spans="3:55" x14ac:dyDescent="0.25"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6"/>
      <c r="AJ58" s="6"/>
      <c r="AK58" s="6"/>
      <c r="AL58" s="6"/>
      <c r="AM58" s="6"/>
      <c r="AN58" s="6"/>
      <c r="AO58" s="6"/>
      <c r="AP58" s="6"/>
      <c r="AQ58" s="6"/>
      <c r="AR58" s="6"/>
      <c r="AS58" s="6"/>
      <c r="AT58" s="6"/>
      <c r="AU58" s="6"/>
      <c r="AV58" s="6"/>
      <c r="AW58" s="6"/>
      <c r="AX58" s="6"/>
      <c r="AY58" s="6"/>
      <c r="AZ58" s="6"/>
      <c r="BA58" s="6"/>
      <c r="BB58" s="6"/>
      <c r="BC58" s="6"/>
    </row>
    <row r="59" spans="3:55" x14ac:dyDescent="0.25"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6"/>
      <c r="AJ59" s="6"/>
      <c r="AK59" s="6"/>
      <c r="AL59" s="6"/>
      <c r="AM59" s="6"/>
      <c r="AN59" s="6"/>
      <c r="AO59" s="6"/>
      <c r="AP59" s="6"/>
      <c r="AQ59" s="6"/>
      <c r="AR59" s="6"/>
      <c r="AS59" s="6"/>
      <c r="AT59" s="6"/>
      <c r="AU59" s="6"/>
      <c r="AV59" s="6"/>
      <c r="AW59" s="6"/>
      <c r="AX59" s="6"/>
      <c r="AY59" s="6"/>
      <c r="AZ59" s="6"/>
      <c r="BA59" s="6"/>
      <c r="BB59" s="6"/>
      <c r="BC59" s="6"/>
    </row>
    <row r="60" spans="3:55" x14ac:dyDescent="0.25"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6"/>
      <c r="AJ60" s="6"/>
      <c r="AK60" s="6"/>
      <c r="AL60" s="6"/>
      <c r="AM60" s="6"/>
      <c r="AN60" s="6"/>
      <c r="AO60" s="6"/>
      <c r="AP60" s="6"/>
      <c r="AQ60" s="6"/>
      <c r="AR60" s="6"/>
      <c r="AS60" s="6"/>
      <c r="AT60" s="6"/>
      <c r="AU60" s="6"/>
      <c r="AV60" s="6"/>
      <c r="AW60" s="6"/>
      <c r="AX60" s="6"/>
      <c r="AY60" s="6"/>
      <c r="AZ60" s="6"/>
      <c r="BA60" s="6"/>
      <c r="BB60" s="6"/>
      <c r="BC60" s="6"/>
    </row>
    <row r="61" spans="3:55" x14ac:dyDescent="0.25"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6"/>
      <c r="AJ61" s="6"/>
      <c r="AK61" s="6"/>
      <c r="AL61" s="6"/>
      <c r="AM61" s="6"/>
      <c r="AN61" s="6"/>
      <c r="AO61" s="6"/>
      <c r="AP61" s="6"/>
      <c r="AQ61" s="6"/>
      <c r="AR61" s="6"/>
      <c r="AS61" s="6"/>
      <c r="AT61" s="6"/>
      <c r="AU61" s="6"/>
      <c r="AV61" s="6"/>
      <c r="AW61" s="6"/>
      <c r="AX61" s="6"/>
      <c r="AY61" s="6"/>
      <c r="AZ61" s="6"/>
      <c r="BA61" s="6"/>
      <c r="BB61" s="6"/>
      <c r="BC61" s="6"/>
    </row>
    <row r="62" spans="3:55" x14ac:dyDescent="0.25">
      <c r="C62" s="6"/>
      <c r="D62" s="6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6"/>
      <c r="AJ62" s="6"/>
      <c r="AK62" s="6"/>
      <c r="AL62" s="6"/>
      <c r="AM62" s="6"/>
      <c r="AN62" s="6"/>
      <c r="AO62" s="6"/>
      <c r="AP62" s="6"/>
      <c r="AQ62" s="6"/>
      <c r="AR62" s="6"/>
      <c r="AS62" s="6"/>
      <c r="AT62" s="6"/>
      <c r="AU62" s="6"/>
      <c r="AV62" s="6"/>
      <c r="AW62" s="6"/>
      <c r="AX62" s="6"/>
      <c r="AY62" s="6"/>
      <c r="AZ62" s="6"/>
      <c r="BA62" s="6"/>
      <c r="BB62" s="6"/>
      <c r="BC62" s="6"/>
    </row>
    <row r="63" spans="3:55" x14ac:dyDescent="0.25">
      <c r="C63" s="6"/>
      <c r="D63" s="6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6"/>
      <c r="AJ63" s="6"/>
      <c r="AK63" s="6"/>
      <c r="AL63" s="6"/>
      <c r="AM63" s="6"/>
      <c r="AN63" s="6"/>
      <c r="AO63" s="6"/>
      <c r="AP63" s="6"/>
      <c r="AQ63" s="6"/>
      <c r="AR63" s="6"/>
      <c r="AS63" s="6"/>
      <c r="AT63" s="6"/>
      <c r="AU63" s="6"/>
      <c r="AV63" s="6"/>
      <c r="AW63" s="6"/>
      <c r="AX63" s="6"/>
      <c r="AY63" s="6"/>
      <c r="AZ63" s="6"/>
      <c r="BA63" s="6"/>
      <c r="BB63" s="6"/>
      <c r="BC63" s="6"/>
    </row>
    <row r="64" spans="3:55" x14ac:dyDescent="0.25">
      <c r="C64" s="6"/>
      <c r="D64" s="6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6"/>
      <c r="AJ64" s="6"/>
      <c r="AK64" s="6"/>
      <c r="AL64" s="6"/>
      <c r="AM64" s="6"/>
      <c r="AN64" s="6"/>
      <c r="AO64" s="6"/>
      <c r="AP64" s="6"/>
      <c r="AQ64" s="6"/>
      <c r="AR64" s="6"/>
      <c r="AS64" s="6"/>
      <c r="AT64" s="6"/>
      <c r="AU64" s="6"/>
      <c r="AV64" s="6"/>
      <c r="AW64" s="6"/>
      <c r="AX64" s="6"/>
      <c r="AY64" s="6"/>
      <c r="AZ64" s="6"/>
      <c r="BA64" s="6"/>
      <c r="BB64" s="6"/>
      <c r="BC64" s="6"/>
    </row>
    <row r="65" spans="3:55" x14ac:dyDescent="0.25">
      <c r="C65" s="6"/>
      <c r="D65" s="6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6"/>
      <c r="AJ65" s="6"/>
      <c r="AK65" s="6"/>
      <c r="AL65" s="6"/>
      <c r="AM65" s="6"/>
      <c r="AN65" s="6"/>
      <c r="AO65" s="6"/>
      <c r="AP65" s="6"/>
      <c r="AQ65" s="6"/>
      <c r="AR65" s="6"/>
      <c r="AS65" s="6"/>
      <c r="AT65" s="6"/>
      <c r="AU65" s="6"/>
      <c r="AV65" s="6"/>
      <c r="AW65" s="6"/>
      <c r="AX65" s="6"/>
      <c r="AY65" s="6"/>
      <c r="AZ65" s="6"/>
      <c r="BA65" s="6"/>
      <c r="BB65" s="6"/>
      <c r="BC65" s="6"/>
    </row>
    <row r="66" spans="3:55" x14ac:dyDescent="0.25">
      <c r="C66" s="6"/>
      <c r="D66" s="6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6"/>
      <c r="AJ66" s="6"/>
      <c r="AK66" s="6"/>
      <c r="AL66" s="6"/>
      <c r="AM66" s="6"/>
      <c r="AN66" s="6"/>
      <c r="AO66" s="6"/>
      <c r="AP66" s="6"/>
      <c r="AQ66" s="6"/>
      <c r="AR66" s="6"/>
      <c r="AS66" s="6"/>
      <c r="AT66" s="6"/>
      <c r="AU66" s="6"/>
      <c r="AV66" s="6"/>
      <c r="AW66" s="6"/>
      <c r="AX66" s="6"/>
      <c r="AY66" s="6"/>
      <c r="AZ66" s="6"/>
      <c r="BA66" s="6"/>
      <c r="BB66" s="6"/>
      <c r="BC66" s="6"/>
    </row>
    <row r="67" spans="3:55" x14ac:dyDescent="0.25">
      <c r="C67" s="6"/>
      <c r="D67" s="6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6"/>
      <c r="AJ67" s="6"/>
      <c r="AK67" s="6"/>
      <c r="AL67" s="6"/>
      <c r="AM67" s="6"/>
      <c r="AN67" s="6"/>
      <c r="AO67" s="6"/>
      <c r="AP67" s="6"/>
      <c r="AQ67" s="6"/>
      <c r="AR67" s="6"/>
      <c r="AS67" s="6"/>
      <c r="AT67" s="6"/>
      <c r="AU67" s="6"/>
      <c r="AV67" s="6"/>
      <c r="AW67" s="6"/>
      <c r="AX67" s="6"/>
      <c r="AY67" s="6"/>
      <c r="AZ67" s="6"/>
      <c r="BA67" s="6"/>
      <c r="BB67" s="6"/>
      <c r="BC67" s="6"/>
    </row>
    <row r="68" spans="3:55" x14ac:dyDescent="0.25">
      <c r="C68" s="6"/>
      <c r="D68" s="6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6"/>
      <c r="BB68" s="6"/>
      <c r="BC68" s="6"/>
    </row>
    <row r="69" spans="3:55" x14ac:dyDescent="0.25"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</row>
    <row r="70" spans="3:55" x14ac:dyDescent="0.25">
      <c r="C70" s="6"/>
      <c r="D70" s="6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6"/>
      <c r="AJ70" s="6"/>
      <c r="AK70" s="6"/>
      <c r="AL70" s="6"/>
      <c r="AM70" s="6"/>
      <c r="AN70" s="6"/>
      <c r="AO70" s="6"/>
      <c r="AP70" s="6"/>
      <c r="AQ70" s="6"/>
      <c r="AR70" s="6"/>
      <c r="AS70" s="6"/>
      <c r="AT70" s="6"/>
      <c r="AU70" s="6"/>
      <c r="AV70" s="6"/>
      <c r="AW70" s="6"/>
      <c r="AX70" s="6"/>
      <c r="AY70" s="6"/>
      <c r="AZ70" s="6"/>
      <c r="BA70" s="6"/>
      <c r="BB70" s="6"/>
      <c r="BC70" s="6"/>
    </row>
    <row r="71" spans="3:55" x14ac:dyDescent="0.25">
      <c r="C71" s="6"/>
      <c r="D71" s="6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6"/>
      <c r="AZ71" s="6"/>
      <c r="BA71" s="6"/>
      <c r="BB71" s="6"/>
      <c r="BC71" s="6"/>
    </row>
    <row r="72" spans="3:55" x14ac:dyDescent="0.25"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6"/>
      <c r="AJ72" s="6"/>
      <c r="AK72" s="6"/>
      <c r="AL72" s="6"/>
      <c r="AM72" s="6"/>
      <c r="AN72" s="6"/>
      <c r="AO72" s="6"/>
      <c r="AP72" s="6"/>
      <c r="AQ72" s="6"/>
      <c r="AR72" s="6"/>
      <c r="AS72" s="6"/>
      <c r="AT72" s="6"/>
      <c r="AU72" s="6"/>
      <c r="AV72" s="6"/>
      <c r="AW72" s="6"/>
      <c r="AX72" s="6"/>
      <c r="AY72" s="6"/>
      <c r="AZ72" s="6"/>
      <c r="BA72" s="6"/>
      <c r="BB72" s="6"/>
      <c r="BC72" s="6"/>
    </row>
    <row r="73" spans="3:55" x14ac:dyDescent="0.25">
      <c r="C73" s="6"/>
      <c r="D73" s="6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M73" s="6"/>
      <c r="AN73" s="6"/>
      <c r="AO73" s="6"/>
      <c r="AP73" s="6"/>
      <c r="AQ73" s="6"/>
      <c r="AR73" s="6"/>
      <c r="AS73" s="6"/>
      <c r="AT73" s="6"/>
      <c r="AU73" s="6"/>
      <c r="AV73" s="6"/>
      <c r="AW73" s="6"/>
      <c r="AX73" s="6"/>
      <c r="AY73" s="6"/>
      <c r="AZ73" s="6"/>
      <c r="BA73" s="6"/>
      <c r="BB73" s="6"/>
      <c r="BC73" s="6"/>
    </row>
    <row r="74" spans="3:55" x14ac:dyDescent="0.25">
      <c r="C74" s="6"/>
      <c r="D74" s="6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6"/>
      <c r="BB74" s="6"/>
      <c r="BC74" s="6"/>
    </row>
    <row r="75" spans="3:55" x14ac:dyDescent="0.25">
      <c r="C75" s="6"/>
      <c r="D75" s="6"/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6"/>
      <c r="Q75" s="6"/>
      <c r="R75" s="6"/>
      <c r="S75" s="6"/>
      <c r="T75" s="6"/>
      <c r="U75" s="6"/>
      <c r="V75" s="6"/>
      <c r="W75" s="6"/>
      <c r="X75" s="6"/>
      <c r="Y75" s="6"/>
      <c r="Z75" s="6"/>
      <c r="AA75" s="6"/>
      <c r="AB75" s="6"/>
      <c r="AC75" s="6"/>
      <c r="AD75" s="6"/>
      <c r="AE75" s="6"/>
      <c r="AF75" s="6"/>
      <c r="AG75" s="6"/>
      <c r="AH75" s="6"/>
      <c r="AI75" s="6"/>
      <c r="AJ75" s="6"/>
      <c r="AK75" s="6"/>
      <c r="AL75" s="6"/>
      <c r="AM75" s="6"/>
      <c r="AN75" s="6"/>
      <c r="AO75" s="6"/>
      <c r="AP75" s="6"/>
      <c r="AQ75" s="6"/>
      <c r="AR75" s="6"/>
      <c r="AS75" s="6"/>
      <c r="AT75" s="6"/>
      <c r="AU75" s="6"/>
      <c r="AV75" s="6"/>
      <c r="AW75" s="6"/>
      <c r="AX75" s="6"/>
      <c r="AY75" s="6"/>
      <c r="AZ75" s="6"/>
      <c r="BA75" s="6"/>
      <c r="BB75" s="6"/>
      <c r="BC75" s="6"/>
    </row>
    <row r="76" spans="3:55" x14ac:dyDescent="0.25">
      <c r="C76" s="6"/>
      <c r="D76" s="6"/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6"/>
      <c r="Q76" s="6"/>
      <c r="R76" s="6"/>
      <c r="S76" s="6"/>
      <c r="T76" s="6"/>
      <c r="U76" s="6"/>
      <c r="V76" s="6"/>
      <c r="W76" s="6"/>
      <c r="X76" s="6"/>
      <c r="Y76" s="6"/>
      <c r="Z76" s="6"/>
      <c r="AA76" s="6"/>
      <c r="AB76" s="6"/>
      <c r="AC76" s="6"/>
      <c r="AD76" s="6"/>
      <c r="AE76" s="6"/>
      <c r="AF76" s="6"/>
      <c r="AG76" s="6"/>
      <c r="AH76" s="6"/>
      <c r="AI76" s="6"/>
      <c r="AJ76" s="6"/>
      <c r="AK76" s="6"/>
      <c r="AL76" s="6"/>
      <c r="AM76" s="6"/>
      <c r="AN76" s="6"/>
      <c r="AO76" s="6"/>
      <c r="AP76" s="6"/>
      <c r="AQ76" s="6"/>
      <c r="AR76" s="6"/>
      <c r="AS76" s="6"/>
      <c r="AT76" s="6"/>
      <c r="AU76" s="6"/>
      <c r="AV76" s="6"/>
      <c r="AW76" s="6"/>
      <c r="AX76" s="6"/>
      <c r="AY76" s="6"/>
      <c r="AZ76" s="6"/>
      <c r="BA76" s="6"/>
      <c r="BB76" s="6"/>
      <c r="BC76" s="6"/>
    </row>
    <row r="77" spans="3:55" x14ac:dyDescent="0.25">
      <c r="C77" s="6"/>
      <c r="D77" s="6"/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6"/>
      <c r="Q77" s="6"/>
      <c r="R77" s="6"/>
      <c r="S77" s="6"/>
      <c r="T77" s="6"/>
      <c r="U77" s="6"/>
      <c r="V77" s="6"/>
      <c r="W77" s="6"/>
      <c r="X77" s="6"/>
      <c r="Y77" s="6"/>
      <c r="Z77" s="6"/>
      <c r="AA77" s="6"/>
      <c r="AB77" s="6"/>
      <c r="AC77" s="6"/>
      <c r="AD77" s="6"/>
      <c r="AE77" s="6"/>
      <c r="AF77" s="6"/>
      <c r="AG77" s="6"/>
      <c r="AH77" s="6"/>
      <c r="AI77" s="6"/>
      <c r="AJ77" s="6"/>
      <c r="AK77" s="6"/>
      <c r="AL77" s="6"/>
      <c r="AM77" s="6"/>
      <c r="AN77" s="6"/>
      <c r="AO77" s="6"/>
      <c r="AP77" s="6"/>
      <c r="AQ77" s="6"/>
      <c r="AR77" s="6"/>
      <c r="AS77" s="6"/>
      <c r="AT77" s="6"/>
      <c r="AU77" s="6"/>
      <c r="AV77" s="6"/>
      <c r="AW77" s="6"/>
      <c r="AX77" s="6"/>
      <c r="AY77" s="6"/>
      <c r="AZ77" s="6"/>
      <c r="BA77" s="6"/>
      <c r="BB77" s="6"/>
      <c r="BC77" s="6"/>
    </row>
    <row r="78" spans="3:55" x14ac:dyDescent="0.25">
      <c r="C78" s="6"/>
      <c r="D78" s="6"/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6"/>
      <c r="Q78" s="6"/>
      <c r="R78" s="6"/>
      <c r="S78" s="6"/>
      <c r="T78" s="6"/>
      <c r="U78" s="6"/>
      <c r="V78" s="6"/>
      <c r="W78" s="6"/>
      <c r="X78" s="6"/>
      <c r="Y78" s="6"/>
      <c r="Z78" s="6"/>
      <c r="AA78" s="6"/>
      <c r="AB78" s="6"/>
      <c r="AC78" s="6"/>
      <c r="AD78" s="6"/>
      <c r="AE78" s="6"/>
      <c r="AF78" s="6"/>
      <c r="AG78" s="6"/>
      <c r="AH78" s="6"/>
      <c r="AI78" s="6"/>
      <c r="AJ78" s="6"/>
      <c r="AK78" s="6"/>
      <c r="AL78" s="6"/>
      <c r="AM78" s="6"/>
      <c r="AN78" s="6"/>
      <c r="AO78" s="6"/>
      <c r="AP78" s="6"/>
      <c r="AQ78" s="6"/>
      <c r="AR78" s="6"/>
      <c r="AS78" s="6"/>
      <c r="AT78" s="6"/>
      <c r="AU78" s="6"/>
      <c r="AV78" s="6"/>
      <c r="AW78" s="6"/>
      <c r="AX78" s="6"/>
      <c r="AY78" s="6"/>
      <c r="AZ78" s="6"/>
      <c r="BA78" s="6"/>
      <c r="BB78" s="6"/>
      <c r="BC78" s="6"/>
    </row>
    <row r="79" spans="3:55" x14ac:dyDescent="0.25">
      <c r="C79" s="6"/>
      <c r="D79" s="6"/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6"/>
      <c r="Q79" s="6"/>
      <c r="R79" s="6"/>
      <c r="S79" s="6"/>
      <c r="T79" s="6"/>
      <c r="U79" s="6"/>
      <c r="V79" s="6"/>
      <c r="W79" s="6"/>
      <c r="X79" s="6"/>
      <c r="Y79" s="6"/>
      <c r="Z79" s="6"/>
      <c r="AA79" s="6"/>
      <c r="AB79" s="6"/>
      <c r="AC79" s="6"/>
      <c r="AD79" s="6"/>
      <c r="AE79" s="6"/>
      <c r="AF79" s="6"/>
      <c r="AG79" s="6"/>
      <c r="AH79" s="6"/>
      <c r="AI79" s="6"/>
      <c r="AJ79" s="6"/>
      <c r="AK79" s="6"/>
      <c r="AL79" s="6"/>
      <c r="AM79" s="6"/>
      <c r="AN79" s="6"/>
      <c r="AO79" s="6"/>
      <c r="AP79" s="6"/>
      <c r="AQ79" s="6"/>
      <c r="AR79" s="6"/>
      <c r="AS79" s="6"/>
      <c r="AT79" s="6"/>
      <c r="AU79" s="6"/>
      <c r="AV79" s="6"/>
      <c r="AW79" s="6"/>
      <c r="AX79" s="6"/>
      <c r="AY79" s="6"/>
      <c r="AZ79" s="6"/>
      <c r="BA79" s="6"/>
      <c r="BB79" s="6"/>
      <c r="BC79" s="6"/>
    </row>
    <row r="80" spans="3:55" x14ac:dyDescent="0.25">
      <c r="C80" s="6"/>
      <c r="D80" s="6"/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6"/>
      <c r="Q80" s="6"/>
      <c r="R80" s="6"/>
      <c r="S80" s="6"/>
      <c r="T80" s="6"/>
      <c r="U80" s="6"/>
      <c r="V80" s="6"/>
      <c r="W80" s="6"/>
      <c r="X80" s="6"/>
      <c r="Y80" s="6"/>
      <c r="Z80" s="6"/>
      <c r="AA80" s="6"/>
      <c r="AB80" s="6"/>
      <c r="AC80" s="6"/>
      <c r="AD80" s="6"/>
      <c r="AE80" s="6"/>
      <c r="AF80" s="6"/>
      <c r="AG80" s="6"/>
      <c r="AH80" s="6"/>
      <c r="AI80" s="6"/>
      <c r="AJ80" s="6"/>
      <c r="AK80" s="6"/>
      <c r="AL80" s="6"/>
      <c r="AM80" s="6"/>
      <c r="AN80" s="6"/>
      <c r="AO80" s="6"/>
      <c r="AP80" s="6"/>
      <c r="AQ80" s="6"/>
      <c r="AR80" s="6"/>
      <c r="AS80" s="6"/>
      <c r="AT80" s="6"/>
      <c r="AU80" s="6"/>
      <c r="AV80" s="6"/>
      <c r="AW80" s="6"/>
      <c r="AX80" s="6"/>
      <c r="AY80" s="6"/>
      <c r="AZ80" s="6"/>
      <c r="BA80" s="6"/>
      <c r="BB80" s="6"/>
      <c r="BC80" s="6"/>
    </row>
    <row r="81" spans="3:55" x14ac:dyDescent="0.25">
      <c r="C81" s="6"/>
      <c r="D81" s="6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6"/>
      <c r="AJ81" s="6"/>
      <c r="AK81" s="6"/>
      <c r="AL81" s="6"/>
      <c r="AM81" s="6"/>
      <c r="AN81" s="6"/>
      <c r="AO81" s="6"/>
      <c r="AP81" s="6"/>
      <c r="AQ81" s="6"/>
      <c r="AR81" s="6"/>
      <c r="AS81" s="6"/>
      <c r="AT81" s="6"/>
      <c r="AU81" s="6"/>
      <c r="AV81" s="6"/>
      <c r="AW81" s="6"/>
      <c r="AX81" s="6"/>
      <c r="AY81" s="6"/>
      <c r="AZ81" s="6"/>
      <c r="BA81" s="6"/>
      <c r="BB81" s="6"/>
      <c r="BC81" s="6"/>
    </row>
  </sheetData>
  <mergeCells count="9">
    <mergeCell ref="AC1:AH1"/>
    <mergeCell ref="AD8:AF15"/>
    <mergeCell ref="AR8:AT15"/>
    <mergeCell ref="AQ1:AV1"/>
    <mergeCell ref="F1:K1"/>
    <mergeCell ref="G8:I15"/>
    <mergeCell ref="R8:T15"/>
    <mergeCell ref="Q1:V1"/>
    <mergeCell ref="G6:I6"/>
  </mergeCells>
  <dataValidations count="1">
    <dataValidation type="list" allowBlank="1" showInputMessage="1" showErrorMessage="1" sqref="AF4 AT4" xr:uid="{C96E1284-0A3E-4173-A229-CF4154EB0CFA}">
      <formula1>ContactNames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List Box 5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9525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4" name="List Box 8">
              <controlPr defaultSize="0" autoLine="0" autoPict="0" macro="[1]!Contact_Select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3</xdr:col>
                    <xdr:colOff>1085850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5" name="List Box 9">
              <controlPr defaultSize="0" autoLine="0" autoPict="0" macro="[1]!Contact_Select">
                <anchor moveWithCells="1">
                  <from>
                    <xdr:col>9</xdr:col>
                    <xdr:colOff>171450</xdr:colOff>
                    <xdr:row>2</xdr:row>
                    <xdr:rowOff>0</xdr:rowOff>
                  </from>
                  <to>
                    <xdr:col>12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List Box 13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" name="List Box 16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1</xdr:row>
                    <xdr:rowOff>180975</xdr:rowOff>
                  </from>
                  <to>
                    <xdr:col>12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8" name="List Box 21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2</xdr:row>
                    <xdr:rowOff>9525</xdr:rowOff>
                  </from>
                  <to>
                    <xdr:col>12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List Box 22">
              <controlPr defaultSize="0" autoLine="0" autoPict="0" macro="[1]!Contact_Select">
                <anchor mov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14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ACAC791-2025-4F9F-9C95-00822D211660}">
          <x14:formula1>
            <xm:f>Contacts!$A$4:$A$1048576</xm:f>
          </x14:formula1>
          <xm:sqref>G2 R2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7AC3C-0CD9-43A9-A6B0-26DDA9A767A6}">
  <sheetPr codeName="Sheet4"/>
  <dimension ref="A1:D15"/>
  <sheetViews>
    <sheetView workbookViewId="0"/>
  </sheetViews>
  <sheetFormatPr defaultRowHeight="15" x14ac:dyDescent="0.25"/>
  <cols>
    <col min="1" max="1" width="13.42578125" bestFit="1" customWidth="1"/>
    <col min="2" max="2" width="11" bestFit="1" customWidth="1"/>
    <col min="3" max="3" width="31" bestFit="1" customWidth="1"/>
    <col min="4" max="4" width="19.28515625" bestFit="1" customWidth="1"/>
  </cols>
  <sheetData>
    <row r="1" spans="1:4" x14ac:dyDescent="0.25">
      <c r="A1" s="7" t="s">
        <v>21</v>
      </c>
      <c r="B1" s="7" t="s">
        <v>22</v>
      </c>
      <c r="C1" s="7" t="s">
        <v>23</v>
      </c>
      <c r="D1" s="7" t="s">
        <v>24</v>
      </c>
    </row>
    <row r="2" spans="1:4" x14ac:dyDescent="0.25">
      <c r="A2" s="36" t="s">
        <v>25</v>
      </c>
      <c r="B2" s="36"/>
      <c r="C2" s="36"/>
      <c r="D2" s="36"/>
    </row>
    <row r="3" spans="1:4" x14ac:dyDescent="0.25">
      <c r="A3" s="8" t="s">
        <v>0</v>
      </c>
      <c r="B3" s="8" t="s">
        <v>1</v>
      </c>
      <c r="C3" s="8" t="s">
        <v>2</v>
      </c>
      <c r="D3" s="8" t="s">
        <v>3</v>
      </c>
    </row>
    <row r="4" spans="1:4" x14ac:dyDescent="0.25">
      <c r="A4" t="s">
        <v>26</v>
      </c>
      <c r="B4">
        <v>3105558545</v>
      </c>
      <c r="C4" s="9" t="s">
        <v>27</v>
      </c>
    </row>
    <row r="5" spans="1:4" x14ac:dyDescent="0.25">
      <c r="A5" t="s">
        <v>28</v>
      </c>
      <c r="B5">
        <f>B4+50</f>
        <v>3105558595</v>
      </c>
      <c r="C5" s="9" t="s">
        <v>29</v>
      </c>
    </row>
    <row r="6" spans="1:4" x14ac:dyDescent="0.25">
      <c r="A6" t="s">
        <v>30</v>
      </c>
      <c r="B6">
        <f>B5+50</f>
        <v>3105558645</v>
      </c>
      <c r="C6" s="9" t="s">
        <v>31</v>
      </c>
    </row>
    <row r="7" spans="1:4" x14ac:dyDescent="0.25">
      <c r="A7" t="s">
        <v>32</v>
      </c>
      <c r="B7">
        <f>B6+50</f>
        <v>3105558695</v>
      </c>
      <c r="C7" s="9" t="s">
        <v>33</v>
      </c>
    </row>
    <row r="8" spans="1:4" x14ac:dyDescent="0.25">
      <c r="A8" t="s">
        <v>34</v>
      </c>
      <c r="B8">
        <v>3105558745</v>
      </c>
      <c r="C8" s="9" t="s">
        <v>35</v>
      </c>
    </row>
    <row r="9" spans="1:4" x14ac:dyDescent="0.25">
      <c r="A9" t="s">
        <v>36</v>
      </c>
      <c r="B9">
        <v>3105558795</v>
      </c>
      <c r="C9" s="9" t="s">
        <v>37</v>
      </c>
      <c r="D9" t="s">
        <v>38</v>
      </c>
    </row>
    <row r="10" spans="1:4" x14ac:dyDescent="0.25">
      <c r="A10" t="s">
        <v>39</v>
      </c>
      <c r="B10">
        <v>31020020</v>
      </c>
      <c r="C10" s="9" t="s">
        <v>33</v>
      </c>
      <c r="D10" t="s">
        <v>40</v>
      </c>
    </row>
    <row r="11" spans="1:4" x14ac:dyDescent="0.25">
      <c r="A11" t="s">
        <v>41</v>
      </c>
      <c r="C11" t="s">
        <v>42</v>
      </c>
      <c r="D11" t="s">
        <v>40</v>
      </c>
    </row>
    <row r="12" spans="1:4" x14ac:dyDescent="0.25">
      <c r="A12" t="s">
        <v>41</v>
      </c>
      <c r="B12">
        <v>1212121212</v>
      </c>
      <c r="C12" t="s">
        <v>42</v>
      </c>
      <c r="D12" t="s">
        <v>40</v>
      </c>
    </row>
    <row r="13" spans="1:4" x14ac:dyDescent="0.25">
      <c r="A13" t="s">
        <v>26</v>
      </c>
      <c r="C13" t="s">
        <v>43</v>
      </c>
      <c r="D13" t="s">
        <v>44</v>
      </c>
    </row>
    <row r="14" spans="1:4" x14ac:dyDescent="0.25">
      <c r="A14" t="s">
        <v>26</v>
      </c>
      <c r="C14" t="s">
        <v>43</v>
      </c>
      <c r="D14" t="s">
        <v>44</v>
      </c>
    </row>
    <row r="15" spans="1:4" x14ac:dyDescent="0.25">
      <c r="A15" t="s">
        <v>45</v>
      </c>
    </row>
  </sheetData>
  <mergeCells count="1">
    <mergeCell ref="A2:D2"/>
  </mergeCells>
  <hyperlinks>
    <hyperlink ref="C4" r:id="rId1" xr:uid="{7A33C367-30E8-422C-8F56-B1846EC1536F}"/>
    <hyperlink ref="C5" r:id="rId2" xr:uid="{3E333201-ADB1-431F-923B-78D9F9337E17}"/>
    <hyperlink ref="C6" r:id="rId3" xr:uid="{B5FBCF8D-BF93-46B2-A828-1C18C6E67551}"/>
    <hyperlink ref="C7" r:id="rId4" xr:uid="{692128ED-04C9-4FE5-ABEE-D0820908543C}"/>
    <hyperlink ref="C8" r:id="rId5" xr:uid="{C1755518-A707-4F33-A437-83CF12048496}"/>
    <hyperlink ref="C9" r:id="rId6" xr:uid="{1B0D6A98-866B-42F0-BA2B-F2C2B9D9F375}"/>
    <hyperlink ref="C10" r:id="rId7" xr:uid="{742A381B-1FCB-4C36-B7DE-84BE0805F5BB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AD61C-9AAB-4D55-851B-03D656C70A0D}">
  <sheetPr codeName="Sheet5"/>
  <dimension ref="A1:E6"/>
  <sheetViews>
    <sheetView workbookViewId="0">
      <selection sqref="A1:A1048576"/>
    </sheetView>
  </sheetViews>
  <sheetFormatPr defaultRowHeight="15" x14ac:dyDescent="0.25"/>
  <cols>
    <col min="1" max="1" width="22.28515625" bestFit="1" customWidth="1"/>
    <col min="2" max="2" width="11.28515625" bestFit="1" customWidth="1"/>
    <col min="3" max="3" width="17.85546875" customWidth="1"/>
    <col min="4" max="4" width="21.140625" bestFit="1" customWidth="1"/>
  </cols>
  <sheetData>
    <row r="1" spans="1:5" x14ac:dyDescent="0.25">
      <c r="A1" s="7" t="s">
        <v>46</v>
      </c>
      <c r="B1" s="7" t="s">
        <v>47</v>
      </c>
      <c r="C1" s="7" t="s">
        <v>48</v>
      </c>
      <c r="D1" s="7" t="s">
        <v>49</v>
      </c>
      <c r="E1" s="7"/>
    </row>
    <row r="2" spans="1:5" x14ac:dyDescent="0.25">
      <c r="A2" s="37" t="s">
        <v>50</v>
      </c>
      <c r="B2" s="38"/>
      <c r="C2" s="38"/>
      <c r="D2" s="38"/>
      <c r="E2" s="10"/>
    </row>
    <row r="3" spans="1:5" x14ac:dyDescent="0.25">
      <c r="A3" s="11" t="s">
        <v>0</v>
      </c>
      <c r="B3" s="11" t="s">
        <v>51</v>
      </c>
      <c r="C3" s="11" t="s">
        <v>52</v>
      </c>
      <c r="D3" s="11" t="s">
        <v>3</v>
      </c>
      <c r="E3" s="11"/>
    </row>
    <row r="4" spans="1:5" x14ac:dyDescent="0.25">
      <c r="A4" t="s">
        <v>53</v>
      </c>
      <c r="B4" t="s">
        <v>32</v>
      </c>
      <c r="C4" t="s">
        <v>54</v>
      </c>
      <c r="D4" t="s">
        <v>55</v>
      </c>
    </row>
    <row r="5" spans="1:5" x14ac:dyDescent="0.25">
      <c r="A5" t="s">
        <v>56</v>
      </c>
      <c r="C5" t="s">
        <v>57</v>
      </c>
    </row>
    <row r="6" spans="1:5" x14ac:dyDescent="0.25">
      <c r="A6" t="s">
        <v>53</v>
      </c>
      <c r="B6" t="s">
        <v>30</v>
      </c>
      <c r="C6" t="s">
        <v>54</v>
      </c>
      <c r="D6" t="s">
        <v>40</v>
      </c>
    </row>
  </sheetData>
  <mergeCells count="1">
    <mergeCell ref="A2:D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6868DE-6F5A-46A9-A89B-1F528623BACB}">
  <sheetPr codeName="Sheet6"/>
  <dimension ref="A1:E6"/>
  <sheetViews>
    <sheetView workbookViewId="0">
      <selection activeCell="E13" sqref="E13"/>
    </sheetView>
  </sheetViews>
  <sheetFormatPr defaultRowHeight="15" x14ac:dyDescent="0.25"/>
  <cols>
    <col min="1" max="1" width="9.85546875" bestFit="1" customWidth="1"/>
    <col min="2" max="2" width="15.42578125" bestFit="1" customWidth="1"/>
    <col min="3" max="3" width="11.7109375" bestFit="1" customWidth="1"/>
    <col min="4" max="4" width="97.42578125" bestFit="1" customWidth="1"/>
    <col min="5" max="5" width="12.85546875" bestFit="1" customWidth="1"/>
  </cols>
  <sheetData>
    <row r="1" spans="1:5" x14ac:dyDescent="0.25">
      <c r="A1" s="7" t="s">
        <v>58</v>
      </c>
      <c r="B1" s="7" t="s">
        <v>59</v>
      </c>
      <c r="C1" s="7" t="s">
        <v>60</v>
      </c>
      <c r="D1" s="7" t="s">
        <v>61</v>
      </c>
      <c r="E1" s="7" t="s">
        <v>62</v>
      </c>
    </row>
    <row r="2" spans="1:5" x14ac:dyDescent="0.25">
      <c r="A2" s="39" t="s">
        <v>63</v>
      </c>
      <c r="B2" s="39"/>
      <c r="C2" s="39"/>
      <c r="D2" s="39"/>
      <c r="E2" s="39"/>
    </row>
    <row r="3" spans="1:5" x14ac:dyDescent="0.25">
      <c r="A3" s="12" t="s">
        <v>64</v>
      </c>
      <c r="B3" s="12" t="s">
        <v>2</v>
      </c>
      <c r="C3" s="12" t="s">
        <v>65</v>
      </c>
      <c r="D3" s="12" t="s">
        <v>66</v>
      </c>
      <c r="E3" s="12" t="s">
        <v>67</v>
      </c>
    </row>
    <row r="4" spans="1:5" x14ac:dyDescent="0.25">
      <c r="A4" t="s">
        <v>30</v>
      </c>
      <c r="B4" t="s">
        <v>31</v>
      </c>
      <c r="C4" t="s">
        <v>68</v>
      </c>
      <c r="D4" t="s">
        <v>54</v>
      </c>
      <c r="E4" t="s">
        <v>69</v>
      </c>
    </row>
    <row r="5" spans="1:5" x14ac:dyDescent="0.25">
      <c r="A5" t="s">
        <v>30</v>
      </c>
      <c r="B5" t="s">
        <v>31</v>
      </c>
      <c r="C5" t="s">
        <v>70</v>
      </c>
      <c r="D5" t="s">
        <v>57</v>
      </c>
      <c r="E5" t="s">
        <v>70</v>
      </c>
    </row>
    <row r="6" spans="1:5" x14ac:dyDescent="0.25">
      <c r="A6" t="s">
        <v>30</v>
      </c>
      <c r="B6" t="s">
        <v>31</v>
      </c>
      <c r="C6" t="s">
        <v>68</v>
      </c>
      <c r="D6" t="s">
        <v>57</v>
      </c>
      <c r="E6" t="s">
        <v>69</v>
      </c>
    </row>
  </sheetData>
  <mergeCells count="1">
    <mergeCell ref="A2:E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4495FB-704F-4F65-B588-A49ED9FB88D2}">
  <sheetPr codeName="Sheet7"/>
  <dimension ref="A1:F9"/>
  <sheetViews>
    <sheetView workbookViewId="0">
      <selection activeCell="F4" sqref="F4"/>
    </sheetView>
  </sheetViews>
  <sheetFormatPr defaultRowHeight="15" x14ac:dyDescent="0.25"/>
  <cols>
    <col min="1" max="1" width="17.5703125" bestFit="1" customWidth="1"/>
    <col min="2" max="2" width="13.42578125" bestFit="1" customWidth="1"/>
    <col min="3" max="3" width="9.7109375" bestFit="1" customWidth="1"/>
    <col min="4" max="4" width="10.5703125" bestFit="1" customWidth="1"/>
    <col min="5" max="5" width="12.5703125" bestFit="1" customWidth="1"/>
    <col min="6" max="6" width="43.7109375" bestFit="1" customWidth="1"/>
  </cols>
  <sheetData>
    <row r="1" spans="1:6" x14ac:dyDescent="0.25">
      <c r="A1" s="7" t="s">
        <v>71</v>
      </c>
      <c r="B1" s="7" t="s">
        <v>72</v>
      </c>
      <c r="C1" s="13" t="s">
        <v>73</v>
      </c>
      <c r="D1" s="7" t="s">
        <v>74</v>
      </c>
      <c r="E1" s="7" t="s">
        <v>75</v>
      </c>
    </row>
    <row r="2" spans="1:6" x14ac:dyDescent="0.25">
      <c r="A2" s="40" t="s">
        <v>76</v>
      </c>
      <c r="B2" s="40"/>
      <c r="C2" s="40"/>
      <c r="D2" s="40"/>
      <c r="E2" s="40"/>
      <c r="F2" t="str">
        <f>A2&amp;" on "&amp;TEXT(C2,"dd/mm/yyyy")&amp;" at "&amp;TEXT(D2,"h:mm AM/PM")</f>
        <v>Reminders Database on 00/01/1900 at 12:00 AM</v>
      </c>
    </row>
    <row r="3" spans="1:6" x14ac:dyDescent="0.25">
      <c r="A3" s="14" t="s">
        <v>77</v>
      </c>
      <c r="B3" s="14" t="s">
        <v>51</v>
      </c>
      <c r="C3" s="14" t="s">
        <v>78</v>
      </c>
      <c r="D3" s="14" t="s">
        <v>79</v>
      </c>
      <c r="E3" s="14" t="s">
        <v>80</v>
      </c>
      <c r="F3" s="15" t="s">
        <v>81</v>
      </c>
    </row>
    <row r="4" spans="1:6" x14ac:dyDescent="0.25">
      <c r="A4" t="s">
        <v>82</v>
      </c>
      <c r="B4" t="s">
        <v>26</v>
      </c>
      <c r="C4" s="16">
        <v>43831</v>
      </c>
      <c r="D4" s="17">
        <v>0.33333333333333331</v>
      </c>
      <c r="E4" t="s">
        <v>83</v>
      </c>
      <c r="F4" t="str">
        <f t="shared" ref="F4:F6" si="0">A4&amp;" on "&amp;TEXT(C4,"dd/mm/yyyy")&amp;" at "&amp;TEXT(D4,"h:mm AM/PM")</f>
        <v>Call Fred on 01/01/2020 at 8:00 AM</v>
      </c>
    </row>
    <row r="5" spans="1:6" x14ac:dyDescent="0.25">
      <c r="A5" t="s">
        <v>84</v>
      </c>
      <c r="B5" t="s">
        <v>28</v>
      </c>
      <c r="C5" s="16">
        <v>43850</v>
      </c>
      <c r="D5" s="17">
        <v>0.33333333333333331</v>
      </c>
      <c r="E5" t="s">
        <v>85</v>
      </c>
      <c r="F5" t="str">
        <f t="shared" si="0"/>
        <v>Call David on 20/01/2020 at 8:00 AM</v>
      </c>
    </row>
    <row r="6" spans="1:6" x14ac:dyDescent="0.25">
      <c r="A6" t="s">
        <v>86</v>
      </c>
      <c r="B6" t="s">
        <v>28</v>
      </c>
      <c r="C6" s="16">
        <v>43850</v>
      </c>
      <c r="D6" s="17">
        <v>0.70833333333333337</v>
      </c>
      <c r="E6" t="s">
        <v>87</v>
      </c>
      <c r="F6" t="str">
        <f t="shared" si="0"/>
        <v>Davids Meeting on 20/01/2020 at 5:00 PM</v>
      </c>
    </row>
    <row r="7" spans="1:6" x14ac:dyDescent="0.25">
      <c r="A7" t="s">
        <v>88</v>
      </c>
      <c r="B7" t="s">
        <v>26</v>
      </c>
      <c r="C7" s="16">
        <v>43831</v>
      </c>
      <c r="D7" s="17">
        <v>0.33333333333333331</v>
      </c>
      <c r="E7" t="s">
        <v>89</v>
      </c>
      <c r="F7" t="str">
        <f>A7&amp;" on "&amp;TEXT(C7,"dd/mm/yyyy")&amp;" at "&amp;TEXT(D7,"h:mm AM/PM")</f>
        <v>Meeting with Fred on 01/01/2020 at 8:00 AM</v>
      </c>
    </row>
    <row r="8" spans="1:6" x14ac:dyDescent="0.25">
      <c r="D8" s="17"/>
      <c r="F8" s="18"/>
    </row>
    <row r="9" spans="1:6" x14ac:dyDescent="0.25">
      <c r="D9" s="17"/>
    </row>
  </sheetData>
  <mergeCells count="1">
    <mergeCell ref="A2:E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Mini-CRM</vt:lpstr>
      <vt:lpstr>Contacts</vt:lpstr>
      <vt:lpstr>Documents</vt:lpstr>
      <vt:lpstr>Emails</vt:lpstr>
      <vt:lpstr>Reminder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 man</dc:creator>
  <cp:lastModifiedBy>x man</cp:lastModifiedBy>
  <dcterms:created xsi:type="dcterms:W3CDTF">2024-05-26T03:53:07Z</dcterms:created>
  <dcterms:modified xsi:type="dcterms:W3CDTF">2024-05-28T06:08:25Z</dcterms:modified>
</cp:coreProperties>
</file>