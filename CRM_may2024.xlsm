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rio_backup\Desktop\mario\Tesseral\2024\CRM\"/>
    </mc:Choice>
  </mc:AlternateContent>
  <xr:revisionPtr revIDLastSave="0" documentId="8_{82AAED27-9E4C-462B-898C-F7AD613A7147}" xr6:coauthVersionLast="47" xr6:coauthVersionMax="47" xr10:uidLastSave="{00000000-0000-0000-0000-000000000000}"/>
  <bookViews>
    <workbookView xWindow="19080" yWindow="-120" windowWidth="19440" windowHeight="15000" xr2:uid="{48CC5983-899F-4569-A4A1-6A4E2F8B105A}"/>
  </bookViews>
  <sheets>
    <sheet name="Mini-CRM" sheetId="1" r:id="rId1"/>
    <sheet name="Contacts" sheetId="6" r:id="rId2"/>
    <sheet name="Documents" sheetId="7" r:id="rId3"/>
    <sheet name="Emails" sheetId="8" r:id="rId4"/>
    <sheet name="Reminder" sheetId="9" r:id="rId5"/>
  </sheets>
  <externalReferences>
    <externalReference r:id="rId6"/>
    <externalReference r:id="rId7"/>
  </externalReferences>
  <definedNames>
    <definedName name="ContactNames">OFFSET(Contacts!$A$3,1,,COUNTA(Contacts!$A$3:$A$998)-1,1)</definedName>
    <definedName name="Documents">OFFSET(Documents!$A$3,1,,COUNTA(Documents!$A$3:$A$9999)-1,1)</definedName>
    <definedName name="Emails">OFFSET(Emails!$A$3,1,,COUNTA(Emails!$A$3:$A$9999)-1,1)</definedName>
    <definedName name="Reminders">OFFSET(Reminder!$A$3,1,,COUNTA(Reminder!$A$3:$A$999)-1,1)</definedName>
    <definedName name="ReminderSummary">OFFSET(Reminder!$F$3,1,,COUNTA(Reminder!$F$3:$F$999)-1,1)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9" l="1"/>
  <c r="F6" i="9"/>
  <c r="F5" i="9"/>
  <c r="F4" i="9"/>
  <c r="F2" i="9"/>
  <c r="B5" i="6"/>
  <c r="B6" i="6" s="1"/>
  <c r="B7" i="6" s="1"/>
  <c r="B8" i="1"/>
  <c r="B12" i="1"/>
  <c r="B18" i="1"/>
  <c r="B4" i="1"/>
</calcChain>
</file>

<file path=xl/sharedStrings.xml><?xml version="1.0" encoding="utf-8"?>
<sst xmlns="http://schemas.openxmlformats.org/spreadsheetml/2006/main" count="151" uniqueCount="114">
  <si>
    <t>Name</t>
  </si>
  <si>
    <t>Phone</t>
  </si>
  <si>
    <t>Email</t>
  </si>
  <si>
    <t>Notes</t>
  </si>
  <si>
    <t>Contact Details</t>
  </si>
  <si>
    <t>New Contact</t>
  </si>
  <si>
    <t>Sel. Contact</t>
  </si>
  <si>
    <t>Cont DB Row</t>
  </si>
  <si>
    <t>Document Details</t>
  </si>
  <si>
    <t>New Doc</t>
  </si>
  <si>
    <t>Sel. Doc</t>
  </si>
  <si>
    <t>Doc DB Row</t>
  </si>
  <si>
    <t>Email Details</t>
  </si>
  <si>
    <t>New Email</t>
  </si>
  <si>
    <t>Sel. Attach</t>
  </si>
  <si>
    <t>Sel. Email</t>
  </si>
  <si>
    <t>Reminder Details</t>
  </si>
  <si>
    <t>New Remind.</t>
  </si>
  <si>
    <t>Sel. Remind.</t>
  </si>
  <si>
    <t>Remind. Row</t>
  </si>
  <si>
    <t>CONTACTS</t>
  </si>
  <si>
    <t>G4</t>
  </si>
  <si>
    <t>I4</t>
  </si>
  <si>
    <t>G6</t>
  </si>
  <si>
    <t>G8</t>
  </si>
  <si>
    <t>Contacts Data</t>
  </si>
  <si>
    <t>Fred Fredders</t>
  </si>
  <si>
    <t>Fred@Gmail.com</t>
  </si>
  <si>
    <t>David Davis</t>
  </si>
  <si>
    <t>David@gmail.com</t>
  </si>
  <si>
    <t>Lisa Lopez</t>
  </si>
  <si>
    <t>Lisa@gmail.com</t>
  </si>
  <si>
    <t>John Jacobs</t>
  </si>
  <si>
    <t>John@gmail.com</t>
  </si>
  <si>
    <t>Beth Richards</t>
  </si>
  <si>
    <t>Beth@gmail.com</t>
  </si>
  <si>
    <t>Mary Davis</t>
  </si>
  <si>
    <t>Mary@gmail.com</t>
  </si>
  <si>
    <t>Test Notes for marry</t>
  </si>
  <si>
    <t>John James</t>
  </si>
  <si>
    <t>Test Notes</t>
  </si>
  <si>
    <t>Ted Tedders</t>
  </si>
  <si>
    <t>Ted@gmail</t>
  </si>
  <si>
    <t>Randy@ExcelForFreelancers.com</t>
  </si>
  <si>
    <t>Fred</t>
  </si>
  <si>
    <t>AD4</t>
  </si>
  <si>
    <t>AF4</t>
  </si>
  <si>
    <t>AD6</t>
  </si>
  <si>
    <t>AD8</t>
  </si>
  <si>
    <t>Documents Database</t>
  </si>
  <si>
    <t>Contact</t>
  </si>
  <si>
    <t>Location</t>
  </si>
  <si>
    <t>Att2Thumb.png</t>
  </si>
  <si>
    <t>C:\Users\neilr\Dropbox\Excel4Freelancers\FreeTrainingVideos\Attachments Pt.2\Att2Thumb.png</t>
  </si>
  <si>
    <t>Test Documents Notes</t>
  </si>
  <si>
    <t>Attachments_Pt_2.xlsm</t>
  </si>
  <si>
    <t>C:\Users\neilr\Dropbox\Excel4Freelancers\FreeTrainingVideos\Attachments Pt.2\Attachments_Pt_2.xlsm</t>
  </si>
  <si>
    <t>R2</t>
  </si>
  <si>
    <t>R4</t>
  </si>
  <si>
    <t>T4</t>
  </si>
  <si>
    <t>R6</t>
  </si>
  <si>
    <t>R8</t>
  </si>
  <si>
    <t>Email Data</t>
  </si>
  <si>
    <t>Send To</t>
  </si>
  <si>
    <t>Subject</t>
  </si>
  <si>
    <t>Attachment</t>
  </si>
  <si>
    <t>Message</t>
  </si>
  <si>
    <t>Test Subject</t>
  </si>
  <si>
    <t>Test Message</t>
  </si>
  <si>
    <t>Test</t>
  </si>
  <si>
    <t>AR4</t>
  </si>
  <si>
    <t>AT4</t>
  </si>
  <si>
    <t>AR6</t>
  </si>
  <si>
    <t>AT6</t>
  </si>
  <si>
    <t>AR8</t>
  </si>
  <si>
    <t>Reminders Database</t>
  </si>
  <si>
    <t>Reminder</t>
  </si>
  <si>
    <t>Date</t>
  </si>
  <si>
    <t>Time</t>
  </si>
  <si>
    <t>Details</t>
  </si>
  <si>
    <t>Summary</t>
  </si>
  <si>
    <t>Call Fred</t>
  </si>
  <si>
    <t>Test details</t>
  </si>
  <si>
    <t>Call David</t>
  </si>
  <si>
    <t xml:space="preserve">Test </t>
  </si>
  <si>
    <t>Davids Meeting</t>
  </si>
  <si>
    <t>Test Meeting</t>
  </si>
  <si>
    <t>Meeting with Fred</t>
  </si>
  <si>
    <t>test Details</t>
  </si>
  <si>
    <t>Select Contact:</t>
  </si>
  <si>
    <t>Contact Name:</t>
  </si>
  <si>
    <t>Phone:</t>
  </si>
  <si>
    <t>Email Address:</t>
  </si>
  <si>
    <t>Notes:</t>
  </si>
  <si>
    <t>EMAILS</t>
  </si>
  <si>
    <t>Send To:</t>
  </si>
  <si>
    <t>Email:</t>
  </si>
  <si>
    <t>Attachments:</t>
  </si>
  <si>
    <t>Messages:</t>
  </si>
  <si>
    <t>Select To Attach</t>
  </si>
  <si>
    <t>Recent Emails</t>
  </si>
  <si>
    <t>DOCUMENTS</t>
  </si>
  <si>
    <t>Documents</t>
  </si>
  <si>
    <t>Document Name:</t>
  </si>
  <si>
    <t>Contact:</t>
  </si>
  <si>
    <t>Location:</t>
  </si>
  <si>
    <t>Document Notes:</t>
  </si>
  <si>
    <t>REMINDERS</t>
  </si>
  <si>
    <t>Reminder:</t>
  </si>
  <si>
    <t>Time:</t>
  </si>
  <si>
    <t>Date:</t>
  </si>
  <si>
    <t>Reminders</t>
  </si>
  <si>
    <t>Details:</t>
  </si>
  <si>
    <t>Test Notes2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</si>
</sst>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rgb="FF0070C0"/>
      <name val="Arial Rounded MT Bold"/>
      <family val="2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59999389629810485"/>
        </stop>
        <stop position="1">
          <color theme="3" tint="0.80001220740379042"/>
        </stop>
      </gradient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D74B3"/>
      </left>
      <right style="dashed">
        <color rgb="FF0D74B3"/>
      </right>
      <top style="medium">
        <color rgb="FF0D74B3"/>
      </top>
      <bottom style="medium">
        <color rgb="FF0D74B3"/>
      </bottom>
      <diagonal/>
    </border>
    <border>
      <left/>
      <right style="medium">
        <color rgb="FF007CA8"/>
      </right>
      <top style="medium">
        <color rgb="FF007CA8"/>
      </top>
      <bottom style="medium">
        <color rgb="FF007CA8"/>
      </bottom>
      <diagonal/>
    </border>
    <border>
      <left/>
      <right/>
      <top style="medium">
        <color rgb="FF007CA8"/>
      </top>
      <bottom/>
      <diagonal/>
    </border>
    <border>
      <left/>
      <right style="medium">
        <color rgb="FF007CA8"/>
      </right>
      <top style="medium">
        <color rgb="FF007CA8"/>
      </top>
      <bottom/>
      <diagonal/>
    </border>
    <border>
      <left/>
      <right style="medium">
        <color rgb="FF007CA8"/>
      </right>
      <top/>
      <bottom/>
      <diagonal/>
    </border>
    <border>
      <left/>
      <right/>
      <top/>
      <bottom style="medium">
        <color rgb="FF007CA8"/>
      </bottom>
      <diagonal/>
    </border>
    <border>
      <left/>
      <right style="medium">
        <color rgb="FF007CA8"/>
      </right>
      <top/>
      <bottom style="medium">
        <color rgb="FF007CA8"/>
      </bottom>
      <diagonal/>
    </border>
    <border>
      <left style="medium">
        <color rgb="FF0D74B3"/>
      </left>
      <right/>
      <top style="medium">
        <color rgb="FF0D74B3"/>
      </top>
      <bottom style="medium">
        <color rgb="FF0D74B3"/>
      </bottom>
      <diagonal/>
    </border>
    <border>
      <left style="dashed">
        <color rgb="FF007CA8"/>
      </left>
      <right/>
      <top style="medium">
        <color rgb="FF007CA8"/>
      </top>
      <bottom/>
      <diagonal/>
    </border>
    <border>
      <left style="dashed">
        <color rgb="FF007CA8"/>
      </left>
      <right/>
      <top/>
      <bottom/>
      <diagonal/>
    </border>
    <border>
      <left style="dashed">
        <color rgb="FF007CA8"/>
      </left>
      <right/>
      <top/>
      <bottom style="medium">
        <color rgb="FF007CA8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dashed">
        <color rgb="FF0D74B3"/>
      </left>
      <right/>
      <top style="medium">
        <color rgb="FF007CA8"/>
      </top>
      <bottom style="medium">
        <color rgb="FF007CA8"/>
      </bottom>
      <diagonal/>
    </border>
    <border>
      <left/>
      <right/>
      <top style="medium">
        <color rgb="FF007CA8"/>
      </top>
      <bottom style="medium">
        <color rgb="FF007CA8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6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4" borderId="0" xfId="0" applyFill="1"/>
    <xf numFmtId="0" fontId="0" fillId="5" borderId="0" xfId="0" applyFill="1"/>
    <xf numFmtId="0" fontId="0" fillId="6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" fillId="0" borderId="0" xfId="1"/>
    <xf numFmtId="0" fontId="0" fillId="9" borderId="4" xfId="0" applyFill="1" applyBorder="1"/>
    <xf numFmtId="0" fontId="0" fillId="10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0" fillId="15" borderId="0" xfId="0" applyFill="1"/>
    <xf numFmtId="0" fontId="0" fillId="5" borderId="0" xfId="0" applyFill="1" applyAlignment="1">
      <alignment horizontal="right"/>
    </xf>
    <xf numFmtId="0" fontId="0" fillId="16" borderId="7" xfId="0" applyFill="1" applyBorder="1"/>
    <xf numFmtId="0" fontId="1" fillId="5" borderId="6" xfId="0" applyFont="1" applyFill="1" applyBorder="1" applyAlignment="1">
      <alignment horizontal="right"/>
    </xf>
    <xf numFmtId="0" fontId="1" fillId="5" borderId="13" xfId="0" applyFont="1" applyFill="1" applyBorder="1" applyAlignment="1">
      <alignment horizontal="right"/>
    </xf>
    <xf numFmtId="0" fontId="4" fillId="17" borderId="17" xfId="0" applyFont="1" applyFill="1" applyBorder="1" applyAlignment="1">
      <alignment horizontal="center"/>
    </xf>
    <xf numFmtId="14" fontId="0" fillId="16" borderId="7" xfId="0" applyNumberFormat="1" applyFill="1" applyBorder="1"/>
    <xf numFmtId="164" fontId="0" fillId="16" borderId="7" xfId="0" applyNumberFormat="1" applyFill="1" applyBorder="1"/>
    <xf numFmtId="49" fontId="2" fillId="4" borderId="0" xfId="0" applyNumberFormat="1" applyFont="1" applyFill="1" applyAlignment="1">
      <alignment horizontal="center" vertical="center"/>
    </xf>
    <xf numFmtId="0" fontId="0" fillId="16" borderId="14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6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4" xfId="0" applyFill="1" applyBorder="1" applyAlignment="1">
      <alignment horizontal="left" vertical="top"/>
    </xf>
    <xf numFmtId="0" fontId="0" fillId="16" borderId="8" xfId="0" applyFill="1" applyBorder="1" applyAlignment="1">
      <alignment horizontal="left" vertical="top"/>
    </xf>
    <xf numFmtId="0" fontId="0" fillId="16" borderId="9" xfId="0" applyFill="1" applyBorder="1" applyAlignment="1">
      <alignment horizontal="left" vertical="top"/>
    </xf>
    <xf numFmtId="0" fontId="0" fillId="16" borderId="15" xfId="0" applyFill="1" applyBorder="1" applyAlignment="1">
      <alignment horizontal="left" vertical="top"/>
    </xf>
    <xf numFmtId="0" fontId="0" fillId="16" borderId="0" xfId="0" applyFill="1" applyAlignment="1">
      <alignment horizontal="left" vertical="top"/>
    </xf>
    <xf numFmtId="0" fontId="0" fillId="16" borderId="10" xfId="0" applyFill="1" applyBorder="1" applyAlignment="1">
      <alignment horizontal="left" vertical="top"/>
    </xf>
    <xf numFmtId="0" fontId="0" fillId="16" borderId="16" xfId="0" applyFill="1" applyBorder="1" applyAlignment="1">
      <alignment horizontal="left" vertical="top"/>
    </xf>
    <xf numFmtId="0" fontId="0" fillId="16" borderId="11" xfId="0" applyFill="1" applyBorder="1" applyAlignment="1">
      <alignment horizontal="left" vertical="top"/>
    </xf>
    <xf numFmtId="0" fontId="0" fillId="16" borderId="12" xfId="0" applyFill="1" applyBorder="1" applyAlignment="1">
      <alignment horizontal="left" vertical="top"/>
    </xf>
    <xf numFmtId="0" fontId="3" fillId="16" borderId="18" xfId="1" applyFill="1" applyBorder="1" applyAlignment="1">
      <alignment horizontal="left"/>
    </xf>
    <xf numFmtId="0" fontId="0" fillId="16" borderId="19" xfId="0" applyFill="1" applyBorder="1" applyAlignment="1">
      <alignment horizontal="left"/>
    </xf>
    <xf numFmtId="0" fontId="0" fillId="16" borderId="7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6" borderId="7" xfId="0" applyFill="1" applyBorder="1" applyAlignment="1">
      <alignment horizontal="center"/>
    </xf>
    <xf numFmtId="0" fontId="0" fillId="16" borderId="18" xfId="0" applyFill="1" applyBorder="1" applyAlignment="1">
      <alignment horizontal="center"/>
    </xf>
    <xf numFmtId="0" fontId="0" fillId="16" borderId="19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D74B3"/>
      <color rgb="FF007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List" dx="16" fmlaLink="$B$3" fmlaRange="ContactNames" noThreeD="1" sel="4" val="0"/>
</file>

<file path=xl/ctrlProps/ctrlProp2.xml><?xml version="1.0" encoding="utf-8"?>
<formControlPr xmlns="http://schemas.microsoft.com/office/spreadsheetml/2009/9/main" objectType="List" dx="16" fmlaLink="$B$14" fmlaRange="Emails" noThreeD="1" sel="1" val="0"/>
</file>

<file path=xl/ctrlProps/ctrlProp3.xml><?xml version="1.0" encoding="utf-8"?>
<formControlPr xmlns="http://schemas.microsoft.com/office/spreadsheetml/2009/9/main" objectType="List" dx="16" fmlaLink="$B$13" fmlaRange="Documents" noThreeD="1" sel="1" val="0"/>
</file>

<file path=xl/ctrlProps/ctrlProp4.xml><?xml version="1.0" encoding="utf-8"?>
<formControlPr xmlns="http://schemas.microsoft.com/office/spreadsheetml/2009/9/main" objectType="List" dx="16" fmlaLink="$B$7" fmlaRange="Documents" noThreeD="1" sel="1" val="0"/>
</file>

<file path=xl/ctrlProps/ctrlProp5.xml><?xml version="1.0" encoding="utf-8"?>
<formControlPr xmlns="http://schemas.microsoft.com/office/spreadsheetml/2009/9/main" objectType="List" dx="16" fmlaLink="$B$17" fmlaRange="ReminderSummary" noThreeD="1" sel="1" val="0"/>
</file>

<file path=xl/ctrlProps/ctrlProp6.xml><?xml version="1.0" encoding="utf-8"?>
<formControlPr xmlns="http://schemas.microsoft.com/office/spreadsheetml/2009/9/main" objectType="List" dx="16" fmlaLink="$B$7" fmlaRange="Documents" noThreeD="1" sel="1" val="0"/>
</file>

<file path=xl/ctrlProps/ctrlProp7.xml><?xml version="1.0" encoding="utf-8"?>
<formControlPr xmlns="http://schemas.microsoft.com/office/spreadsheetml/2009/9/main" objectType="List" dx="16" fmlaLink="$B$17" fmlaRange="ReminderSummary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19" Type="http://schemas.openxmlformats.org/officeDocument/2006/relationships/image" Target="../media/image19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1114425</xdr:colOff>
      <xdr:row>0</xdr:row>
      <xdr:rowOff>0</xdr:rowOff>
    </xdr:from>
    <xdr:to>
      <xdr:col>51</xdr:col>
      <xdr:colOff>6909075</xdr:colOff>
      <xdr:row>18</xdr:row>
      <xdr:rowOff>75975</xdr:rowOff>
    </xdr:to>
    <xdr:grpSp>
      <xdr:nvGrpSpPr>
        <xdr:cNvPr id="1075" name="HomeGrp" hidden="1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GrpSpPr/>
      </xdr:nvGrpSpPr>
      <xdr:grpSpPr>
        <a:xfrm>
          <a:off x="10687050" y="0"/>
          <a:ext cx="0" cy="4362225"/>
          <a:chOff x="3457575" y="0"/>
          <a:chExt cx="5794650" cy="4362225"/>
        </a:xfrm>
      </xdr:grpSpPr>
      <xdr:sp macro="[0]!Show_Contact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457575" y="723900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600" b="1" i="1">
                <a:solidFill>
                  <a:schemeClr val="accent1"/>
                </a:solidFill>
              </a:rPr>
              <a:t>CONTACTS</a:t>
            </a:r>
          </a:p>
        </xdr:txBody>
      </xdr:sp>
      <xdr:sp macro="[0]!Show_Email" textlink="">
        <xdr:nvSpPr>
          <xdr:cNvPr id="17" name="Rectangle 16" hidden="1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6372225" y="723900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CA" sz="1600" b="1" i="1">
                <a:solidFill>
                  <a:schemeClr val="accent1"/>
                </a:solidFill>
              </a:rPr>
              <a:t>EMAILS</a:t>
            </a:r>
          </a:p>
        </xdr:txBody>
      </xdr:sp>
      <xdr:sp macro="[0]!Show_Reminder" textlink="">
        <xdr:nvSpPr>
          <xdr:cNvPr id="18" name="Rectangle 17" hidden="1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372225" y="2562225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CA" sz="1600" b="1" i="1">
                <a:solidFill>
                  <a:schemeClr val="accent1"/>
                </a:solidFill>
              </a:rPr>
              <a:t>REMINDERS</a:t>
            </a:r>
          </a:p>
        </xdr:txBody>
      </xdr:sp>
      <xdr:sp macro="[0]!Show_Document" textlink="">
        <xdr:nvSpPr>
          <xdr:cNvPr id="16" name="Rectangle 15" hidden="1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457575" y="2562225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600" b="1" i="1">
                <a:solidFill>
                  <a:schemeClr val="accent1"/>
                </a:solidFill>
              </a:rPr>
              <a:t>DOCUMENTS</a:t>
            </a:r>
          </a:p>
        </xdr:txBody>
      </xdr:sp>
      <xdr:grpSp>
        <xdr:nvGrpSpPr>
          <xdr:cNvPr id="1110" name="Group 1109" hidden="1">
            <a:extLst>
              <a:ext uri="{FF2B5EF4-FFF2-40B4-BE49-F238E27FC236}">
                <a16:creationId xmlns:a16="http://schemas.microsoft.com/office/drawing/2014/main" id="{00000000-0008-0000-0000-000056040000}"/>
              </a:ext>
            </a:extLst>
          </xdr:cNvPr>
          <xdr:cNvGrpSpPr/>
        </xdr:nvGrpSpPr>
        <xdr:grpSpPr>
          <a:xfrm>
            <a:off x="5419724" y="1609724"/>
            <a:ext cx="1847625" cy="1847625"/>
            <a:chOff x="48520349" y="1657349"/>
            <a:chExt cx="1847625" cy="1847625"/>
          </a:xfrm>
        </xdr:grpSpPr>
        <xdr:sp macro="[0]!Show_Email" textlink="">
          <xdr:nvSpPr>
            <xdr:cNvPr id="11" name="Partial Circle 10" hidden="1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 rot="10800000">
              <a:off x="48567974" y="1704974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  <xdr:sp macro="[0]!Show_Email" textlink="">
          <xdr:nvSpPr>
            <xdr:cNvPr id="10" name="Partial Circle 9" hidden="1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 rot="16200000">
              <a:off x="48520349" y="1704974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  <xdr:sp macro="[0]!Show_Email" textlink="">
          <xdr:nvSpPr>
            <xdr:cNvPr id="6" name="Partial Circle 5" hidden="1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48520349" y="1657349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  <xdr:sp macro="[0]!Show_Email" textlink="">
          <xdr:nvSpPr>
            <xdr:cNvPr id="12" name="Partial Circle 11" hidden="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 rot="5400000">
              <a:off x="48567974" y="1666874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</xdr:grpSp>
      <xdr:sp macro="" textlink="">
        <xdr:nvSpPr>
          <xdr:cNvPr id="4" name="Rectangle: Rounded Corners 3" hidden="1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819525" y="0"/>
            <a:ext cx="4962525" cy="80962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/>
            <a:r>
              <a:rPr lang="en-CA" sz="3000">
                <a:solidFill>
                  <a:schemeClr val="accen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 Rounded MT Bold" panose="020F0704030504030204" pitchFamily="34" charset="0"/>
              </a:rPr>
              <a:t>TESSERAL</a:t>
            </a:r>
            <a:r>
              <a:rPr lang="en-CA" sz="3000" baseline="0">
                <a:solidFill>
                  <a:schemeClr val="accent1"/>
                </a:solidFill>
                <a:latin typeface="Arial Rounded MT Bold" panose="020F0704030504030204" pitchFamily="34" charset="0"/>
              </a:rPr>
              <a:t> </a:t>
            </a:r>
            <a:r>
              <a:rPr lang="en-CA" sz="3000">
                <a:solidFill>
                  <a:schemeClr val="accent1"/>
                </a:solidFill>
                <a:latin typeface="Arial Rounded MT Bold" panose="020F0704030504030204" pitchFamily="34" charset="0"/>
              </a:rPr>
              <a:t> </a:t>
            </a:r>
            <a:r>
              <a:rPr lang="en-CA" sz="3000">
                <a:solidFill>
                  <a:schemeClr val="accen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 Rounded MT Bold" panose="020F0704030504030204" pitchFamily="34" charset="0"/>
              </a:rPr>
              <a:t>CRM</a:t>
            </a:r>
            <a:r>
              <a:rPr lang="en-CA" sz="3000">
                <a:solidFill>
                  <a:schemeClr val="accent1"/>
                </a:solidFill>
                <a:latin typeface="Arial Rounded MT Bold" panose="020F0704030504030204" pitchFamily="34" charset="0"/>
              </a:rPr>
              <a:t> </a:t>
            </a:r>
          </a:p>
        </xdr:txBody>
      </xdr:sp>
      <xdr:pic macro="[0]!Show_Reminder">
        <xdr:nvPicPr>
          <xdr:cNvPr id="20" name="Graphic 19" descr="Daily calendar" hidden="1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448425" y="2676525"/>
            <a:ext cx="540000" cy="540000"/>
          </a:xfrm>
          <a:prstGeom prst="rect">
            <a:avLst/>
          </a:prstGeom>
        </xdr:spPr>
      </xdr:pic>
      <xdr:pic macro="[0]!Show_Document">
        <xdr:nvPicPr>
          <xdr:cNvPr id="24" name="Graphic 23" descr="Open folder" hidden="1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729250" y="2671725"/>
            <a:ext cx="540000" cy="540000"/>
          </a:xfrm>
          <a:prstGeom prst="rect">
            <a:avLst/>
          </a:prstGeom>
        </xdr:spPr>
      </xdr:pic>
      <xdr:pic macro="[0]!Show_Reminder">
        <xdr:nvPicPr>
          <xdr:cNvPr id="28" name="Graphic 27" descr="Daily calendar" hidden="1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600950" y="2857500"/>
            <a:ext cx="1260000" cy="1260000"/>
          </a:xfrm>
          <a:prstGeom prst="rect">
            <a:avLst/>
          </a:prstGeom>
        </xdr:spPr>
      </xdr:pic>
      <xdr:pic macro="[0]!Show_Document">
        <xdr:nvPicPr>
          <xdr:cNvPr id="29" name="Graphic 28" descr="Open folder" hidden="1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833775" y="2919375"/>
            <a:ext cx="1260000" cy="1260000"/>
          </a:xfrm>
          <a:prstGeom prst="rect">
            <a:avLst/>
          </a:prstGeom>
        </xdr:spPr>
      </xdr:pic>
      <xdr:pic macro="[0]!Show_Contact">
        <xdr:nvPicPr>
          <xdr:cNvPr id="30" name="Graphic 29" descr="Employee badge" hidden="1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721875" y="988200"/>
            <a:ext cx="1260000" cy="1260000"/>
          </a:xfrm>
          <a:prstGeom prst="rect">
            <a:avLst/>
          </a:prstGeom>
        </xdr:spPr>
      </xdr:pic>
      <xdr:grpSp>
        <xdr:nvGrpSpPr>
          <xdr:cNvPr id="1104" name="Graphic 21" descr="Employee badge" hidden="1">
            <a:extLst>
              <a:ext uri="{FF2B5EF4-FFF2-40B4-BE49-F238E27FC236}">
                <a16:creationId xmlns:a16="http://schemas.microsoft.com/office/drawing/2014/main" id="{00000000-0008-0000-0000-000050040000}"/>
              </a:ext>
            </a:extLst>
          </xdr:cNvPr>
          <xdr:cNvGrpSpPr/>
        </xdr:nvGrpSpPr>
        <xdr:grpSpPr>
          <a:xfrm>
            <a:off x="5757600" y="2019450"/>
            <a:ext cx="450000" cy="382500"/>
            <a:chOff x="48858225" y="2067075"/>
            <a:chExt cx="450000" cy="382500"/>
          </a:xfrm>
          <a:solidFill>
            <a:schemeClr val="bg1"/>
          </a:solidFill>
        </xdr:grpSpPr>
        <xdr:sp macro="[0]!Show_Contact" textlink="">
          <xdr:nvSpPr>
            <xdr:cNvPr id="1105" name="Freeform: Shape 1104" hidden="1">
              <a:extLs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>
            <a:xfrm>
              <a:off x="49049475" y="2067075"/>
              <a:ext cx="67500" cy="90000"/>
            </a:xfrm>
            <a:custGeom>
              <a:avLst/>
              <a:gdLst>
                <a:gd name="connsiteX0" fmla="*/ 45000 w 67500"/>
                <a:gd name="connsiteY0" fmla="*/ 90000 h 90000"/>
                <a:gd name="connsiteX1" fmla="*/ 22500 w 67500"/>
                <a:gd name="connsiteY1" fmla="*/ 90000 h 90000"/>
                <a:gd name="connsiteX2" fmla="*/ 0 w 67500"/>
                <a:gd name="connsiteY2" fmla="*/ 67500 h 90000"/>
                <a:gd name="connsiteX3" fmla="*/ 0 w 67500"/>
                <a:gd name="connsiteY3" fmla="*/ 22500 h 90000"/>
                <a:gd name="connsiteX4" fmla="*/ 22500 w 67500"/>
                <a:gd name="connsiteY4" fmla="*/ 0 h 90000"/>
                <a:gd name="connsiteX5" fmla="*/ 45000 w 67500"/>
                <a:gd name="connsiteY5" fmla="*/ 0 h 90000"/>
                <a:gd name="connsiteX6" fmla="*/ 67500 w 67500"/>
                <a:gd name="connsiteY6" fmla="*/ 22500 h 90000"/>
                <a:gd name="connsiteX7" fmla="*/ 67500 w 67500"/>
                <a:gd name="connsiteY7" fmla="*/ 67500 h 90000"/>
                <a:gd name="connsiteX8" fmla="*/ 45000 w 67500"/>
                <a:gd name="connsiteY8" fmla="*/ 90000 h 90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67500" h="90000">
                  <a:moveTo>
                    <a:pt x="45000" y="90000"/>
                  </a:moveTo>
                  <a:lnTo>
                    <a:pt x="22500" y="90000"/>
                  </a:lnTo>
                  <a:cubicBezTo>
                    <a:pt x="10125" y="90000"/>
                    <a:pt x="0" y="79875"/>
                    <a:pt x="0" y="67500"/>
                  </a:cubicBezTo>
                  <a:lnTo>
                    <a:pt x="0" y="22500"/>
                  </a:lnTo>
                  <a:cubicBezTo>
                    <a:pt x="0" y="10125"/>
                    <a:pt x="10125" y="0"/>
                    <a:pt x="22500" y="0"/>
                  </a:cubicBezTo>
                  <a:lnTo>
                    <a:pt x="45000" y="0"/>
                  </a:lnTo>
                  <a:cubicBezTo>
                    <a:pt x="57375" y="0"/>
                    <a:pt x="67500" y="10125"/>
                    <a:pt x="67500" y="22500"/>
                  </a:cubicBezTo>
                  <a:lnTo>
                    <a:pt x="67500" y="67500"/>
                  </a:lnTo>
                  <a:cubicBezTo>
                    <a:pt x="67500" y="79875"/>
                    <a:pt x="57375" y="90000"/>
                    <a:pt x="45000" y="90000"/>
                  </a:cubicBezTo>
                  <a:close/>
                </a:path>
              </a:pathLst>
            </a:custGeom>
            <a:solidFill>
              <a:schemeClr val="bg1"/>
            </a:solidFill>
            <a:ln w="555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  <xdr:sp macro="[0]!Show_Contact" textlink="">
          <xdr:nvSpPr>
            <xdr:cNvPr id="1106" name="Freeform: Shape 1105" hidden="1">
              <a:extLs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>
            <a:xfrm>
              <a:off x="48858225" y="2134575"/>
              <a:ext cx="450000" cy="315000"/>
            </a:xfrm>
            <a:custGeom>
              <a:avLst/>
              <a:gdLst>
                <a:gd name="connsiteX0" fmla="*/ 405000 w 450000"/>
                <a:gd name="connsiteY0" fmla="*/ 135000 h 315000"/>
                <a:gd name="connsiteX1" fmla="*/ 270000 w 450000"/>
                <a:gd name="connsiteY1" fmla="*/ 135000 h 315000"/>
                <a:gd name="connsiteX2" fmla="*/ 270000 w 450000"/>
                <a:gd name="connsiteY2" fmla="*/ 112500 h 315000"/>
                <a:gd name="connsiteX3" fmla="*/ 405000 w 450000"/>
                <a:gd name="connsiteY3" fmla="*/ 112500 h 315000"/>
                <a:gd name="connsiteX4" fmla="*/ 405000 w 450000"/>
                <a:gd name="connsiteY4" fmla="*/ 135000 h 315000"/>
                <a:gd name="connsiteX5" fmla="*/ 405000 w 450000"/>
                <a:gd name="connsiteY5" fmla="*/ 202500 h 315000"/>
                <a:gd name="connsiteX6" fmla="*/ 270000 w 450000"/>
                <a:gd name="connsiteY6" fmla="*/ 202500 h 315000"/>
                <a:gd name="connsiteX7" fmla="*/ 270000 w 450000"/>
                <a:gd name="connsiteY7" fmla="*/ 180000 h 315000"/>
                <a:gd name="connsiteX8" fmla="*/ 405000 w 450000"/>
                <a:gd name="connsiteY8" fmla="*/ 180000 h 315000"/>
                <a:gd name="connsiteX9" fmla="*/ 405000 w 450000"/>
                <a:gd name="connsiteY9" fmla="*/ 202500 h 315000"/>
                <a:gd name="connsiteX10" fmla="*/ 405000 w 450000"/>
                <a:gd name="connsiteY10" fmla="*/ 270000 h 315000"/>
                <a:gd name="connsiteX11" fmla="*/ 270000 w 450000"/>
                <a:gd name="connsiteY11" fmla="*/ 270000 h 315000"/>
                <a:gd name="connsiteX12" fmla="*/ 270000 w 450000"/>
                <a:gd name="connsiteY12" fmla="*/ 247500 h 315000"/>
                <a:gd name="connsiteX13" fmla="*/ 405000 w 450000"/>
                <a:gd name="connsiteY13" fmla="*/ 247500 h 315000"/>
                <a:gd name="connsiteX14" fmla="*/ 405000 w 450000"/>
                <a:gd name="connsiteY14" fmla="*/ 270000 h 315000"/>
                <a:gd name="connsiteX15" fmla="*/ 225000 w 450000"/>
                <a:gd name="connsiteY15" fmla="*/ 270000 h 315000"/>
                <a:gd name="connsiteX16" fmla="*/ 45000 w 450000"/>
                <a:gd name="connsiteY16" fmla="*/ 270000 h 315000"/>
                <a:gd name="connsiteX17" fmla="*/ 45000 w 450000"/>
                <a:gd name="connsiteY17" fmla="*/ 225000 h 315000"/>
                <a:gd name="connsiteX18" fmla="*/ 54000 w 450000"/>
                <a:gd name="connsiteY18" fmla="*/ 207000 h 315000"/>
                <a:gd name="connsiteX19" fmla="*/ 97875 w 450000"/>
                <a:gd name="connsiteY19" fmla="*/ 185625 h 315000"/>
                <a:gd name="connsiteX20" fmla="*/ 135000 w 450000"/>
                <a:gd name="connsiteY20" fmla="*/ 180000 h 315000"/>
                <a:gd name="connsiteX21" fmla="*/ 172125 w 450000"/>
                <a:gd name="connsiteY21" fmla="*/ 185625 h 315000"/>
                <a:gd name="connsiteX22" fmla="*/ 216000 w 450000"/>
                <a:gd name="connsiteY22" fmla="*/ 207000 h 315000"/>
                <a:gd name="connsiteX23" fmla="*/ 225000 w 450000"/>
                <a:gd name="connsiteY23" fmla="*/ 225000 h 315000"/>
                <a:gd name="connsiteX24" fmla="*/ 225000 w 450000"/>
                <a:gd name="connsiteY24" fmla="*/ 270000 h 315000"/>
                <a:gd name="connsiteX25" fmla="*/ 135000 w 450000"/>
                <a:gd name="connsiteY25" fmla="*/ 78750 h 315000"/>
                <a:gd name="connsiteX26" fmla="*/ 180000 w 450000"/>
                <a:gd name="connsiteY26" fmla="*/ 123750 h 315000"/>
                <a:gd name="connsiteX27" fmla="*/ 135000 w 450000"/>
                <a:gd name="connsiteY27" fmla="*/ 168750 h 315000"/>
                <a:gd name="connsiteX28" fmla="*/ 90000 w 450000"/>
                <a:gd name="connsiteY28" fmla="*/ 123750 h 315000"/>
                <a:gd name="connsiteX29" fmla="*/ 135000 w 450000"/>
                <a:gd name="connsiteY29" fmla="*/ 78750 h 315000"/>
                <a:gd name="connsiteX30" fmla="*/ 427500 w 450000"/>
                <a:gd name="connsiteY30" fmla="*/ 0 h 315000"/>
                <a:gd name="connsiteX31" fmla="*/ 281250 w 450000"/>
                <a:gd name="connsiteY31" fmla="*/ 0 h 315000"/>
                <a:gd name="connsiteX32" fmla="*/ 236250 w 450000"/>
                <a:gd name="connsiteY32" fmla="*/ 45000 h 315000"/>
                <a:gd name="connsiteX33" fmla="*/ 213750 w 450000"/>
                <a:gd name="connsiteY33" fmla="*/ 45000 h 315000"/>
                <a:gd name="connsiteX34" fmla="*/ 168750 w 450000"/>
                <a:gd name="connsiteY34" fmla="*/ 0 h 315000"/>
                <a:gd name="connsiteX35" fmla="*/ 22500 w 450000"/>
                <a:gd name="connsiteY35" fmla="*/ 0 h 315000"/>
                <a:gd name="connsiteX36" fmla="*/ 0 w 450000"/>
                <a:gd name="connsiteY36" fmla="*/ 22500 h 315000"/>
                <a:gd name="connsiteX37" fmla="*/ 0 w 450000"/>
                <a:gd name="connsiteY37" fmla="*/ 292500 h 315000"/>
                <a:gd name="connsiteX38" fmla="*/ 22500 w 450000"/>
                <a:gd name="connsiteY38" fmla="*/ 315000 h 315000"/>
                <a:gd name="connsiteX39" fmla="*/ 427500 w 450000"/>
                <a:gd name="connsiteY39" fmla="*/ 315000 h 315000"/>
                <a:gd name="connsiteX40" fmla="*/ 450000 w 450000"/>
                <a:gd name="connsiteY40" fmla="*/ 292500 h 315000"/>
                <a:gd name="connsiteX41" fmla="*/ 450000 w 450000"/>
                <a:gd name="connsiteY41" fmla="*/ 22500 h 315000"/>
                <a:gd name="connsiteX42" fmla="*/ 427500 w 450000"/>
                <a:gd name="connsiteY42" fmla="*/ 0 h 315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</a:cxnLst>
              <a:rect l="l" t="t" r="r" b="b"/>
              <a:pathLst>
                <a:path w="450000" h="315000">
                  <a:moveTo>
                    <a:pt x="405000" y="135000"/>
                  </a:moveTo>
                  <a:lnTo>
                    <a:pt x="270000" y="135000"/>
                  </a:lnTo>
                  <a:lnTo>
                    <a:pt x="270000" y="112500"/>
                  </a:lnTo>
                  <a:lnTo>
                    <a:pt x="405000" y="112500"/>
                  </a:lnTo>
                  <a:lnTo>
                    <a:pt x="405000" y="135000"/>
                  </a:lnTo>
                  <a:close/>
                  <a:moveTo>
                    <a:pt x="405000" y="202500"/>
                  </a:moveTo>
                  <a:lnTo>
                    <a:pt x="270000" y="202500"/>
                  </a:lnTo>
                  <a:lnTo>
                    <a:pt x="270000" y="180000"/>
                  </a:lnTo>
                  <a:lnTo>
                    <a:pt x="405000" y="180000"/>
                  </a:lnTo>
                  <a:lnTo>
                    <a:pt x="405000" y="202500"/>
                  </a:lnTo>
                  <a:close/>
                  <a:moveTo>
                    <a:pt x="405000" y="270000"/>
                  </a:moveTo>
                  <a:lnTo>
                    <a:pt x="270000" y="270000"/>
                  </a:lnTo>
                  <a:lnTo>
                    <a:pt x="270000" y="247500"/>
                  </a:lnTo>
                  <a:lnTo>
                    <a:pt x="405000" y="247500"/>
                  </a:lnTo>
                  <a:lnTo>
                    <a:pt x="405000" y="270000"/>
                  </a:lnTo>
                  <a:close/>
                  <a:moveTo>
                    <a:pt x="225000" y="270000"/>
                  </a:moveTo>
                  <a:lnTo>
                    <a:pt x="45000" y="270000"/>
                  </a:lnTo>
                  <a:lnTo>
                    <a:pt x="45000" y="225000"/>
                  </a:lnTo>
                  <a:cubicBezTo>
                    <a:pt x="45000" y="218250"/>
                    <a:pt x="48375" y="211500"/>
                    <a:pt x="54000" y="207000"/>
                  </a:cubicBezTo>
                  <a:cubicBezTo>
                    <a:pt x="66375" y="198000"/>
                    <a:pt x="82125" y="190125"/>
                    <a:pt x="97875" y="185625"/>
                  </a:cubicBezTo>
                  <a:cubicBezTo>
                    <a:pt x="110250" y="182250"/>
                    <a:pt x="122625" y="180000"/>
                    <a:pt x="135000" y="180000"/>
                  </a:cubicBezTo>
                  <a:cubicBezTo>
                    <a:pt x="148500" y="180000"/>
                    <a:pt x="160875" y="182250"/>
                    <a:pt x="172125" y="185625"/>
                  </a:cubicBezTo>
                  <a:cubicBezTo>
                    <a:pt x="187875" y="190125"/>
                    <a:pt x="203625" y="196875"/>
                    <a:pt x="216000" y="207000"/>
                  </a:cubicBezTo>
                  <a:cubicBezTo>
                    <a:pt x="221625" y="211500"/>
                    <a:pt x="225000" y="218250"/>
                    <a:pt x="225000" y="225000"/>
                  </a:cubicBezTo>
                  <a:lnTo>
                    <a:pt x="225000" y="270000"/>
                  </a:lnTo>
                  <a:close/>
                  <a:moveTo>
                    <a:pt x="135000" y="78750"/>
                  </a:moveTo>
                  <a:cubicBezTo>
                    <a:pt x="159750" y="78750"/>
                    <a:pt x="180000" y="99000"/>
                    <a:pt x="180000" y="123750"/>
                  </a:cubicBezTo>
                  <a:cubicBezTo>
                    <a:pt x="180000" y="148500"/>
                    <a:pt x="159750" y="168750"/>
                    <a:pt x="135000" y="168750"/>
                  </a:cubicBezTo>
                  <a:cubicBezTo>
                    <a:pt x="110250" y="168750"/>
                    <a:pt x="90000" y="148500"/>
                    <a:pt x="90000" y="123750"/>
                  </a:cubicBezTo>
                  <a:cubicBezTo>
                    <a:pt x="90000" y="99000"/>
                    <a:pt x="110250" y="78750"/>
                    <a:pt x="135000" y="78750"/>
                  </a:cubicBezTo>
                  <a:close/>
                  <a:moveTo>
                    <a:pt x="427500" y="0"/>
                  </a:moveTo>
                  <a:lnTo>
                    <a:pt x="281250" y="0"/>
                  </a:lnTo>
                  <a:cubicBezTo>
                    <a:pt x="281250" y="24750"/>
                    <a:pt x="261000" y="45000"/>
                    <a:pt x="236250" y="45000"/>
                  </a:cubicBezTo>
                  <a:lnTo>
                    <a:pt x="213750" y="45000"/>
                  </a:lnTo>
                  <a:cubicBezTo>
                    <a:pt x="189000" y="45000"/>
                    <a:pt x="168750" y="24750"/>
                    <a:pt x="168750" y="0"/>
                  </a:cubicBezTo>
                  <a:lnTo>
                    <a:pt x="22500" y="0"/>
                  </a:lnTo>
                  <a:cubicBezTo>
                    <a:pt x="10125" y="0"/>
                    <a:pt x="0" y="10125"/>
                    <a:pt x="0" y="22500"/>
                  </a:cubicBezTo>
                  <a:lnTo>
                    <a:pt x="0" y="292500"/>
                  </a:lnTo>
                  <a:cubicBezTo>
                    <a:pt x="0" y="304875"/>
                    <a:pt x="10125" y="315000"/>
                    <a:pt x="22500" y="315000"/>
                  </a:cubicBezTo>
                  <a:lnTo>
                    <a:pt x="427500" y="315000"/>
                  </a:lnTo>
                  <a:cubicBezTo>
                    <a:pt x="439875" y="315000"/>
                    <a:pt x="450000" y="304875"/>
                    <a:pt x="450000" y="292500"/>
                  </a:cubicBezTo>
                  <a:lnTo>
                    <a:pt x="450000" y="22500"/>
                  </a:lnTo>
                  <a:cubicBezTo>
                    <a:pt x="450000" y="10125"/>
                    <a:pt x="439875" y="0"/>
                    <a:pt x="427500" y="0"/>
                  </a:cubicBezTo>
                  <a:close/>
                </a:path>
              </a:pathLst>
            </a:custGeom>
            <a:solidFill>
              <a:schemeClr val="bg1"/>
            </a:solidFill>
            <a:ln w="555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</xdr:grpSp>
      <xdr:sp macro="[0]!Show_Email" textlink="">
        <xdr:nvSpPr>
          <xdr:cNvPr id="1109" name="Graphic 25" descr="Envelope" hidden="1">
            <a:extLst>
              <a:ext uri="{FF2B5EF4-FFF2-40B4-BE49-F238E27FC236}">
                <a16:creationId xmlns:a16="http://schemas.microsoft.com/office/drawing/2014/main" id="{00000000-0008-0000-0000-000055040000}"/>
              </a:ext>
            </a:extLst>
          </xdr:cNvPr>
          <xdr:cNvSpPr/>
        </xdr:nvSpPr>
        <xdr:spPr>
          <a:xfrm>
            <a:off x="6495750" y="2096025"/>
            <a:ext cx="450000" cy="315000"/>
          </a:xfrm>
          <a:custGeom>
            <a:avLst/>
            <a:gdLst>
              <a:gd name="connsiteX0" fmla="*/ 0 w 450000"/>
              <a:gd name="connsiteY0" fmla="*/ 0 h 315000"/>
              <a:gd name="connsiteX1" fmla="*/ 0 w 450000"/>
              <a:gd name="connsiteY1" fmla="*/ 315000 h 315000"/>
              <a:gd name="connsiteX2" fmla="*/ 450000 w 450000"/>
              <a:gd name="connsiteY2" fmla="*/ 315000 h 315000"/>
              <a:gd name="connsiteX3" fmla="*/ 450000 w 450000"/>
              <a:gd name="connsiteY3" fmla="*/ 0 h 315000"/>
              <a:gd name="connsiteX4" fmla="*/ 0 w 450000"/>
              <a:gd name="connsiteY4" fmla="*/ 0 h 315000"/>
              <a:gd name="connsiteX5" fmla="*/ 232875 w 450000"/>
              <a:gd name="connsiteY5" fmla="*/ 196313 h 315000"/>
              <a:gd name="connsiteX6" fmla="*/ 217125 w 450000"/>
              <a:gd name="connsiteY6" fmla="*/ 196313 h 315000"/>
              <a:gd name="connsiteX7" fmla="*/ 50625 w 450000"/>
              <a:gd name="connsiteY7" fmla="*/ 33750 h 315000"/>
              <a:gd name="connsiteX8" fmla="*/ 399938 w 450000"/>
              <a:gd name="connsiteY8" fmla="*/ 33750 h 315000"/>
              <a:gd name="connsiteX9" fmla="*/ 232875 w 450000"/>
              <a:gd name="connsiteY9" fmla="*/ 196313 h 315000"/>
              <a:gd name="connsiteX10" fmla="*/ 143438 w 450000"/>
              <a:gd name="connsiteY10" fmla="*/ 155813 h 315000"/>
              <a:gd name="connsiteX11" fmla="*/ 33750 w 450000"/>
              <a:gd name="connsiteY11" fmla="*/ 266063 h 315000"/>
              <a:gd name="connsiteX12" fmla="*/ 33750 w 450000"/>
              <a:gd name="connsiteY12" fmla="*/ 48375 h 315000"/>
              <a:gd name="connsiteX13" fmla="*/ 143438 w 450000"/>
              <a:gd name="connsiteY13" fmla="*/ 155813 h 315000"/>
              <a:gd name="connsiteX14" fmla="*/ 159750 w 450000"/>
              <a:gd name="connsiteY14" fmla="*/ 171563 h 315000"/>
              <a:gd name="connsiteX15" fmla="*/ 201938 w 450000"/>
              <a:gd name="connsiteY15" fmla="*/ 212625 h 315000"/>
              <a:gd name="connsiteX16" fmla="*/ 225562 w 450000"/>
              <a:gd name="connsiteY16" fmla="*/ 222188 h 315000"/>
              <a:gd name="connsiteX17" fmla="*/ 249188 w 450000"/>
              <a:gd name="connsiteY17" fmla="*/ 212625 h 315000"/>
              <a:gd name="connsiteX18" fmla="*/ 291375 w 450000"/>
              <a:gd name="connsiteY18" fmla="*/ 171563 h 315000"/>
              <a:gd name="connsiteX19" fmla="*/ 400500 w 450000"/>
              <a:gd name="connsiteY19" fmla="*/ 281250 h 315000"/>
              <a:gd name="connsiteX20" fmla="*/ 50062 w 450000"/>
              <a:gd name="connsiteY20" fmla="*/ 281250 h 315000"/>
              <a:gd name="connsiteX21" fmla="*/ 159750 w 450000"/>
              <a:gd name="connsiteY21" fmla="*/ 171563 h 315000"/>
              <a:gd name="connsiteX22" fmla="*/ 306563 w 450000"/>
              <a:gd name="connsiteY22" fmla="*/ 155813 h 315000"/>
              <a:gd name="connsiteX23" fmla="*/ 416250 w 450000"/>
              <a:gd name="connsiteY23" fmla="*/ 48938 h 315000"/>
              <a:gd name="connsiteX24" fmla="*/ 416250 w 450000"/>
              <a:gd name="connsiteY24" fmla="*/ 265500 h 315000"/>
              <a:gd name="connsiteX25" fmla="*/ 306563 w 450000"/>
              <a:gd name="connsiteY25" fmla="*/ 155813 h 315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450000" h="315000">
                <a:moveTo>
                  <a:pt x="0" y="0"/>
                </a:moveTo>
                <a:lnTo>
                  <a:pt x="0" y="315000"/>
                </a:lnTo>
                <a:lnTo>
                  <a:pt x="450000" y="315000"/>
                </a:lnTo>
                <a:lnTo>
                  <a:pt x="450000" y="0"/>
                </a:lnTo>
                <a:lnTo>
                  <a:pt x="0" y="0"/>
                </a:lnTo>
                <a:close/>
                <a:moveTo>
                  <a:pt x="232875" y="196313"/>
                </a:moveTo>
                <a:cubicBezTo>
                  <a:pt x="228375" y="200813"/>
                  <a:pt x="221625" y="200813"/>
                  <a:pt x="217125" y="196313"/>
                </a:cubicBezTo>
                <a:lnTo>
                  <a:pt x="50625" y="33750"/>
                </a:lnTo>
                <a:lnTo>
                  <a:pt x="399938" y="33750"/>
                </a:lnTo>
                <a:lnTo>
                  <a:pt x="232875" y="196313"/>
                </a:lnTo>
                <a:close/>
                <a:moveTo>
                  <a:pt x="143438" y="155813"/>
                </a:moveTo>
                <a:lnTo>
                  <a:pt x="33750" y="266063"/>
                </a:lnTo>
                <a:lnTo>
                  <a:pt x="33750" y="48375"/>
                </a:lnTo>
                <a:lnTo>
                  <a:pt x="143438" y="155813"/>
                </a:lnTo>
                <a:close/>
                <a:moveTo>
                  <a:pt x="159750" y="171563"/>
                </a:moveTo>
                <a:lnTo>
                  <a:pt x="201938" y="212625"/>
                </a:lnTo>
                <a:cubicBezTo>
                  <a:pt x="208687" y="218813"/>
                  <a:pt x="217125" y="222188"/>
                  <a:pt x="225562" y="222188"/>
                </a:cubicBezTo>
                <a:cubicBezTo>
                  <a:pt x="234000" y="222188"/>
                  <a:pt x="242437" y="218813"/>
                  <a:pt x="249188" y="212625"/>
                </a:cubicBezTo>
                <a:lnTo>
                  <a:pt x="291375" y="171563"/>
                </a:lnTo>
                <a:lnTo>
                  <a:pt x="400500" y="281250"/>
                </a:lnTo>
                <a:lnTo>
                  <a:pt x="50062" y="281250"/>
                </a:lnTo>
                <a:lnTo>
                  <a:pt x="159750" y="171563"/>
                </a:lnTo>
                <a:close/>
                <a:moveTo>
                  <a:pt x="306563" y="155813"/>
                </a:moveTo>
                <a:lnTo>
                  <a:pt x="416250" y="48938"/>
                </a:lnTo>
                <a:lnTo>
                  <a:pt x="416250" y="265500"/>
                </a:lnTo>
                <a:lnTo>
                  <a:pt x="306563" y="155813"/>
                </a:lnTo>
                <a:close/>
              </a:path>
            </a:pathLst>
          </a:custGeom>
          <a:solidFill>
            <a:schemeClr val="bg1"/>
          </a:solidFill>
          <a:ln w="5556" cap="flat">
            <a:noFill/>
            <a:prstDash val="solid"/>
            <a:miter/>
          </a:ln>
        </xdr:spPr>
        <xdr:txBody>
          <a:bodyPr rtlCol="0" anchor="ctr"/>
          <a:lstStyle/>
          <a:p>
            <a:endParaRPr lang="en-CA"/>
          </a:p>
        </xdr:txBody>
      </xdr:sp>
      <xdr:pic macro="[0]!Show_Email">
        <xdr:nvPicPr>
          <xdr:cNvPr id="27" name="Graphic 26" descr="Envelope" hidden="1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600949" y="1000124"/>
            <a:ext cx="1260000" cy="1260000"/>
          </a:xfrm>
          <a:prstGeom prst="rect">
            <a:avLst/>
          </a:prstGeom>
        </xdr:spPr>
      </xdr:pic>
    </xdr:grpSp>
    <xdr:clientData/>
  </xdr:twoCellAnchor>
  <xdr:twoCellAnchor>
    <xdr:from>
      <xdr:col>40</xdr:col>
      <xdr:colOff>1</xdr:colOff>
      <xdr:row>0</xdr:row>
      <xdr:rowOff>123825</xdr:rowOff>
    </xdr:from>
    <xdr:to>
      <xdr:col>45</xdr:col>
      <xdr:colOff>1391557</xdr:colOff>
      <xdr:row>14</xdr:row>
      <xdr:rowOff>180975</xdr:rowOff>
    </xdr:to>
    <xdr:grpSp>
      <xdr:nvGrpSpPr>
        <xdr:cNvPr id="1147" name="ReminderGrp" hidden="1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GrpSpPr/>
      </xdr:nvGrpSpPr>
      <xdr:grpSpPr>
        <a:xfrm>
          <a:off x="10687050" y="123825"/>
          <a:ext cx="0" cy="3571875"/>
          <a:chOff x="10553700" y="123825"/>
          <a:chExt cx="30080857" cy="3571875"/>
        </a:xfrm>
      </xdr:grpSpPr>
      <xdr:grpSp>
        <xdr:nvGrpSpPr>
          <xdr:cNvPr id="1077" name="HomeButton" hidden="1">
            <a:extLst>
              <a:ext uri="{FF2B5EF4-FFF2-40B4-BE49-F238E27FC236}">
                <a16:creationId xmlns:a16="http://schemas.microsoft.com/office/drawing/2014/main" id="{00000000-0008-0000-0000-000035040000}"/>
              </a:ext>
            </a:extLst>
          </xdr:cNvPr>
          <xdr:cNvGrpSpPr/>
        </xdr:nvGrpSpPr>
        <xdr:grpSpPr>
          <a:xfrm>
            <a:off x="34528131" y="228600"/>
            <a:ext cx="660814" cy="590550"/>
            <a:chOff x="32461200" y="323850"/>
            <a:chExt cx="659084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078" name="Rectangle 1077" hidden="1">
              <a:extLs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>
            <a:xfrm>
              <a:off x="32461200" y="323850"/>
              <a:ext cx="659084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079" name="Graphic 1078" descr="House" hidden="1">
              <a:extLs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" textlink="">
        <xdr:nvSpPr>
          <xdr:cNvPr id="1080" name="Rectangle 1079" hidden="1">
            <a:extLst>
              <a:ext uri="{FF2B5EF4-FFF2-40B4-BE49-F238E27FC236}">
                <a16:creationId xmlns:a16="http://schemas.microsoft.com/office/drawing/2014/main" id="{00000000-0008-0000-0000-000038040000}"/>
              </a:ext>
            </a:extLst>
          </xdr:cNvPr>
          <xdr:cNvSpPr/>
        </xdr:nvSpPr>
        <xdr:spPr>
          <a:xfrm>
            <a:off x="37950484" y="2717298"/>
            <a:ext cx="18473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endPara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List Box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10553700" y="1200150"/>
                <a:ext cx="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093" name="Group 1092" hidden="1">
            <a:extLst>
              <a:ext uri="{FF2B5EF4-FFF2-40B4-BE49-F238E27FC236}">
                <a16:creationId xmlns:a16="http://schemas.microsoft.com/office/drawing/2014/main" id="{00000000-0008-0000-0000-000045040000}"/>
              </a:ext>
            </a:extLst>
          </xdr:cNvPr>
          <xdr:cNvGrpSpPr/>
        </xdr:nvGrpSpPr>
        <xdr:grpSpPr>
          <a:xfrm>
            <a:off x="37848550" y="971550"/>
            <a:ext cx="2786007" cy="247467"/>
            <a:chOff x="38886775" y="981075"/>
            <a:chExt cx="2786007" cy="247467"/>
          </a:xfrm>
        </xdr:grpSpPr>
        <xdr:sp macro="[1]!Contact_Save" textlink="">
          <xdr:nvSpPr>
            <xdr:cNvPr id="1084" name="Rectangle 1083" hidden="1">
              <a:extLs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>
            <a:xfrm>
              <a:off x="38886775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Reminder</a:t>
              </a:r>
            </a:p>
          </xdr:txBody>
        </xdr:sp>
        <xdr:sp macro="[1]!Contact_New" textlink="">
          <xdr:nvSpPr>
            <xdr:cNvPr id="1085" name="Rectangle 1084" hidden="1">
              <a:extLs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>
            <a:xfrm>
              <a:off x="40308382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</a:t>
              </a:r>
              <a:r>
                <a:rPr lang="en-US" sz="1100" b="1" baseline="0"/>
                <a:t> Reminder</a:t>
              </a:r>
              <a:endParaRPr lang="en-US" sz="1100" b="1"/>
            </a:p>
          </xdr:txBody>
        </xdr:sp>
        <xdr:pic macro="[1]!Contact_New">
          <xdr:nvPicPr>
            <xdr:cNvPr id="1087" name="Picture 1086" hidden="1">
              <a:extLs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375545" y="1019175"/>
              <a:ext cx="191464" cy="201019"/>
            </a:xfrm>
            <a:prstGeom prst="rect">
              <a:avLst/>
            </a:prstGeom>
          </xdr:spPr>
        </xdr:pic>
        <xdr:pic macro="[1]!Contact_Save">
          <xdr:nvPicPr>
            <xdr:cNvPr id="1088" name="Picture 1087" hidden="1">
              <a:extLs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985825" y="1000125"/>
              <a:ext cx="189522" cy="201019"/>
            </a:xfrm>
            <a:prstGeom prst="rect">
              <a:avLst/>
            </a:prstGeom>
          </xdr:spPr>
        </xdr:pic>
      </xdr:grpSp>
      <xdr:pic>
        <xdr:nvPicPr>
          <xdr:cNvPr id="1094" name="Graphic 1093" descr="Daily calendar" hidden="1">
            <a:extLst>
              <a:ext uri="{FF2B5EF4-FFF2-40B4-BE49-F238E27FC236}">
                <a16:creationId xmlns:a16="http://schemas.microsoft.com/office/drawing/2014/main" id="{00000000-0008-0000-0000-000046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36559350" y="123825"/>
            <a:ext cx="1080000" cy="108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0</xdr:colOff>
      <xdr:row>0</xdr:row>
      <xdr:rowOff>152400</xdr:rowOff>
    </xdr:from>
    <xdr:to>
      <xdr:col>31</xdr:col>
      <xdr:colOff>1543957</xdr:colOff>
      <xdr:row>14</xdr:row>
      <xdr:rowOff>190500</xdr:rowOff>
    </xdr:to>
    <xdr:grpSp>
      <xdr:nvGrpSpPr>
        <xdr:cNvPr id="1114" name="DocGrp" hidden="1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GrpSpPr/>
      </xdr:nvGrpSpPr>
      <xdr:grpSpPr>
        <a:xfrm>
          <a:off x="10687050" y="152400"/>
          <a:ext cx="0" cy="3552825"/>
          <a:chOff x="10553700" y="152400"/>
          <a:chExt cx="17955532" cy="3552825"/>
        </a:xfrm>
      </xdr:grpSpPr>
      <xdr:grpSp>
        <xdr:nvGrpSpPr>
          <xdr:cNvPr id="1058" name="HomeButton" hidden="1">
            <a:extLst>
              <a:ext uri="{FF2B5EF4-FFF2-40B4-BE49-F238E27FC236}">
                <a16:creationId xmlns:a16="http://schemas.microsoft.com/office/drawing/2014/main" id="{00000000-0008-0000-0000-000022040000}"/>
              </a:ext>
            </a:extLst>
          </xdr:cNvPr>
          <xdr:cNvGrpSpPr/>
        </xdr:nvGrpSpPr>
        <xdr:grpSpPr>
          <a:xfrm>
            <a:off x="22221825" y="238125"/>
            <a:ext cx="687600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059" name="Rectangle 1058" hidden="1">
              <a:extLs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060" name="Graphic 1059" descr="House" hidden="1">
              <a:extLs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" textlink="">
        <xdr:nvSpPr>
          <xdr:cNvPr id="1061" name="Rectangle 1060" hidden="1">
            <a:extLst>
              <a:ext uri="{FF2B5EF4-FFF2-40B4-BE49-F238E27FC236}">
                <a16:creationId xmlns:a16="http://schemas.microsoft.com/office/drawing/2014/main" id="{00000000-0008-0000-0000-000025040000}"/>
              </a:ext>
            </a:extLst>
          </xdr:cNvPr>
          <xdr:cNvSpPr/>
        </xdr:nvSpPr>
        <xdr:spPr>
          <a:xfrm>
            <a:off x="25644184" y="2726823"/>
            <a:ext cx="18473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endPara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List Box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10553700" y="1209675"/>
                <a:ext cx="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074" name="Group 1073" hidden="1">
            <a:extLst>
              <a:ext uri="{FF2B5EF4-FFF2-40B4-BE49-F238E27FC236}">
                <a16:creationId xmlns:a16="http://schemas.microsoft.com/office/drawing/2014/main" id="{00000000-0008-0000-0000-000032040000}"/>
              </a:ext>
            </a:extLst>
          </xdr:cNvPr>
          <xdr:cNvGrpSpPr/>
        </xdr:nvGrpSpPr>
        <xdr:grpSpPr>
          <a:xfrm>
            <a:off x="25723225" y="971550"/>
            <a:ext cx="2786007" cy="270000"/>
            <a:chOff x="26342350" y="971550"/>
            <a:chExt cx="2786007" cy="270000"/>
          </a:xfrm>
        </xdr:grpSpPr>
        <xdr:sp macro="[1]!Contact_Save" textlink="">
          <xdr:nvSpPr>
            <xdr:cNvPr id="1063" name="Rectangle 1062" hidden="1">
              <a:extLs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>
            <a:xfrm>
              <a:off x="26342350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Document</a:t>
              </a:r>
            </a:p>
          </xdr:txBody>
        </xdr:sp>
        <xdr:sp macro="[1]!Contact_New" textlink="">
          <xdr:nvSpPr>
            <xdr:cNvPr id="1066" name="Rectangle 1065" hidden="1">
              <a:extLs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>
            <a:xfrm>
              <a:off x="27763957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Add Document</a:t>
              </a:r>
            </a:p>
            <a:p>
              <a:pPr algn="r"/>
              <a:endParaRPr lang="en-US" sz="1100" b="1"/>
            </a:p>
          </xdr:txBody>
        </xdr:sp>
        <xdr:pic>
          <xdr:nvPicPr>
            <xdr:cNvPr id="1070" name="Graphic 1069" descr="Open folder" hidden="1">
              <a:extLs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6422350" y="971550"/>
              <a:ext cx="270000" cy="270000"/>
            </a:xfrm>
            <a:prstGeom prst="rect">
              <a:avLst/>
            </a:prstGeom>
          </xdr:spPr>
        </xdr:pic>
        <xdr:pic macro="[1]!Contact_New">
          <xdr:nvPicPr>
            <xdr:cNvPr id="1073" name="Picture 1072" hidden="1">
              <a:extLs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7831120" y="1019175"/>
              <a:ext cx="191464" cy="201019"/>
            </a:xfrm>
            <a:prstGeom prst="rect">
              <a:avLst/>
            </a:prstGeom>
          </xdr:spPr>
        </xdr:pic>
      </xdr:grpSp>
      <xdr:pic>
        <xdr:nvPicPr>
          <xdr:cNvPr id="1095" name="Graphic 1094" descr="Open folder" hidden="1">
            <a:extLst>
              <a:ext uri="{FF2B5EF4-FFF2-40B4-BE49-F238E27FC236}">
                <a16:creationId xmlns:a16="http://schemas.microsoft.com/office/drawing/2014/main" id="{00000000-0008-0000-0000-000047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24381600" y="152400"/>
            <a:ext cx="1080000" cy="10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372386</xdr:colOff>
      <xdr:row>0</xdr:row>
      <xdr:rowOff>38100</xdr:rowOff>
    </xdr:from>
    <xdr:to>
      <xdr:col>17</xdr:col>
      <xdr:colOff>1333959</xdr:colOff>
      <xdr:row>0</xdr:row>
      <xdr:rowOff>1010100</xdr:rowOff>
    </xdr:to>
    <xdr:pic>
      <xdr:nvPicPr>
        <xdr:cNvPr id="1096" name="Graphic 1095" descr="Envelope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4364611" y="38100"/>
          <a:ext cx="961573" cy="9720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9</xdr:col>
      <xdr:colOff>1857</xdr:colOff>
      <xdr:row>15</xdr:row>
      <xdr:rowOff>0</xdr:rowOff>
    </xdr:to>
    <xdr:grpSp>
      <xdr:nvGrpSpPr>
        <xdr:cNvPr id="1158" name="ContactGrp" hidden="1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GrpSpPr/>
      </xdr:nvGrpSpPr>
      <xdr:grpSpPr>
        <a:xfrm>
          <a:off x="2343150" y="0"/>
          <a:ext cx="0" cy="3714750"/>
          <a:chOff x="2343150" y="0"/>
          <a:chExt cx="6583632" cy="3714750"/>
        </a:xfrm>
      </xdr:grpSpPr>
      <xdr:grpSp>
        <xdr:nvGrpSpPr>
          <xdr:cNvPr id="57" name="HomeButton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GrpSpPr/>
        </xdr:nvGrpSpPr>
        <xdr:grpSpPr>
          <a:xfrm>
            <a:off x="2553007" y="238125"/>
            <a:ext cx="686804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58" name="Rectangle 57" hidden="1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59" name="Graphic 58" descr="House" hidden="1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[1]!Contact_Save" textlink="">
        <xdr:nvSpPr>
          <xdr:cNvPr id="51" name="Rectangle 50" hidden="1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6626136" y="981075"/>
            <a:ext cx="1069417" cy="24746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r"/>
            <a:r>
              <a:rPr lang="en-US" sz="1100" b="1"/>
              <a:t>Save Contact</a:t>
            </a:r>
          </a:p>
        </xdr:txBody>
      </xdr:sp>
      <xdr:pic macro="[1]!Contact_Save">
        <xdr:nvPicPr>
          <xdr:cNvPr id="52" name="Picture 51" hidden="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4291" y="1000125"/>
            <a:ext cx="189799" cy="201019"/>
          </a:xfrm>
          <a:prstGeom prst="rect">
            <a:avLst/>
          </a:prstGeom>
        </xdr:spPr>
      </xdr:pic>
      <xdr:grpSp>
        <xdr:nvGrpSpPr>
          <xdr:cNvPr id="56" name="Group 55" hidden="1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GrpSpPr/>
        </xdr:nvGrpSpPr>
        <xdr:grpSpPr>
          <a:xfrm>
            <a:off x="7789887" y="981075"/>
            <a:ext cx="1069417" cy="247467"/>
            <a:chOff x="7534275" y="981075"/>
            <a:chExt cx="1067854" cy="247467"/>
          </a:xfrm>
        </xdr:grpSpPr>
        <xdr:sp macro="[1]!Contact_New" textlink="">
          <xdr:nvSpPr>
            <xdr:cNvPr id="54" name="Rectangle 53" hidden="1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7534275" y="981075"/>
              <a:ext cx="1067854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 Conact</a:t>
              </a:r>
            </a:p>
          </xdr:txBody>
        </xdr:sp>
        <xdr:pic macro="[1]!Contact_New">
          <xdr:nvPicPr>
            <xdr:cNvPr id="53" name="Picture 52" hidden="1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581900" y="1000125"/>
              <a:ext cx="189522" cy="201019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List Box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2343150" y="1219200"/>
                <a:ext cx="1084611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Show_Contact">
        <xdr:nvPicPr>
          <xdr:cNvPr id="1167" name="Graphic 1166" descr="Employee badge" hidden="1">
            <a:extLst>
              <a:ext uri="{FF2B5EF4-FFF2-40B4-BE49-F238E27FC236}">
                <a16:creationId xmlns:a16="http://schemas.microsoft.com/office/drawing/2014/main" id="{00000000-0008-0000-0000-00008F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4505325" y="0"/>
            <a:ext cx="1080000" cy="1080000"/>
          </a:xfrm>
          <a:prstGeom prst="rect">
            <a:avLst/>
          </a:prstGeom>
        </xdr:spPr>
      </xdr:pic>
      <xdr:grpSp>
        <xdr:nvGrpSpPr>
          <xdr:cNvPr id="1124" name="Group 1123" hidden="1">
            <a:extLst>
              <a:ext uri="{FF2B5EF4-FFF2-40B4-BE49-F238E27FC236}">
                <a16:creationId xmlns:a16="http://schemas.microsoft.com/office/drawing/2014/main" id="{00000000-0008-0000-0000-000064040000}"/>
              </a:ext>
            </a:extLst>
          </xdr:cNvPr>
          <xdr:cNvGrpSpPr/>
        </xdr:nvGrpSpPr>
        <xdr:grpSpPr>
          <a:xfrm>
            <a:off x="7774782" y="971550"/>
            <a:ext cx="1152000" cy="247467"/>
            <a:chOff x="7984332" y="971550"/>
            <a:chExt cx="1152000" cy="247467"/>
          </a:xfrm>
        </xdr:grpSpPr>
        <xdr:sp macro="[0]!Contact_New" textlink="">
          <xdr:nvSpPr>
            <xdr:cNvPr id="26" name="Rectangle 25" hidden="1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7984332" y="971550"/>
              <a:ext cx="11520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</a:t>
              </a:r>
              <a:r>
                <a:rPr lang="en-US" sz="1100" b="1" baseline="0"/>
                <a:t> Contact</a:t>
              </a:r>
              <a:endParaRPr lang="en-US" sz="1100" b="1"/>
            </a:p>
          </xdr:txBody>
        </xdr:sp>
        <xdr:pic macro="[1]!Contact_New">
          <xdr:nvPicPr>
            <xdr:cNvPr id="31" name="Picture 30" hidden="1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051495" y="1009650"/>
              <a:ext cx="191464" cy="201019"/>
            </a:xfrm>
            <a:prstGeom prst="rect">
              <a:avLst/>
            </a:prstGeom>
          </xdr:spPr>
        </xdr:pic>
      </xdr:grpSp>
      <xdr:grpSp>
        <xdr:nvGrpSpPr>
          <xdr:cNvPr id="1125" name="Group 1124" hidden="1">
            <a:extLst>
              <a:ext uri="{FF2B5EF4-FFF2-40B4-BE49-F238E27FC236}">
                <a16:creationId xmlns:a16="http://schemas.microsoft.com/office/drawing/2014/main" id="{00000000-0008-0000-0000-000065040000}"/>
              </a:ext>
            </a:extLst>
          </xdr:cNvPr>
          <xdr:cNvGrpSpPr/>
        </xdr:nvGrpSpPr>
        <xdr:grpSpPr>
          <a:xfrm>
            <a:off x="6562725" y="971550"/>
            <a:ext cx="1152000" cy="247467"/>
            <a:chOff x="6562725" y="971550"/>
            <a:chExt cx="1152000" cy="247467"/>
          </a:xfrm>
        </xdr:grpSpPr>
        <xdr:sp macro="[0]!Contact_Save" textlink="">
          <xdr:nvSpPr>
            <xdr:cNvPr id="25" name="Rectangle 24" hidden="1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/>
          </xdr:nvSpPr>
          <xdr:spPr>
            <a:xfrm>
              <a:off x="6562725" y="971550"/>
              <a:ext cx="11520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Contact</a:t>
              </a:r>
            </a:p>
          </xdr:txBody>
        </xdr:sp>
        <xdr:pic macro="[1]!Contact_Save">
          <xdr:nvPicPr>
            <xdr:cNvPr id="1123" name="Picture 1122" hidden="1">
              <a:extLs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661775" y="990600"/>
              <a:ext cx="189522" cy="201019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0</xdr:colOff>
      <xdr:row>0</xdr:row>
      <xdr:rowOff>238125</xdr:rowOff>
    </xdr:from>
    <xdr:to>
      <xdr:col>21</xdr:col>
      <xdr:colOff>1295399</xdr:colOff>
      <xdr:row>14</xdr:row>
      <xdr:rowOff>190500</xdr:rowOff>
    </xdr:to>
    <xdr:grpSp>
      <xdr:nvGrpSpPr>
        <xdr:cNvPr id="1025" name="EmailGrp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pSpPr/>
      </xdr:nvGrpSpPr>
      <xdr:grpSpPr>
        <a:xfrm>
          <a:off x="2343150" y="238125"/>
          <a:ext cx="8343899" cy="3467100"/>
          <a:chOff x="11591927" y="238125"/>
          <a:chExt cx="8090460" cy="3467100"/>
        </a:xfrm>
      </xdr:grpSpPr>
      <xdr:grpSp>
        <xdr:nvGrpSpPr>
          <xdr:cNvPr id="55" name="Group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GrpSpPr/>
        </xdr:nvGrpSpPr>
        <xdr:grpSpPr>
          <a:xfrm>
            <a:off x="11799229" y="238125"/>
            <a:ext cx="680224" cy="590550"/>
            <a:chOff x="11799229" y="238125"/>
            <a:chExt cx="680224" cy="590550"/>
          </a:xfrm>
        </xdr:grpSpPr>
        <xdr:sp macro="[0]!Show_Home" textlink="">
          <xdr:nvSpPr>
            <xdr:cNvPr id="1038" name="Rectangle 1037">
              <a:extLs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>
            <a:xfrm>
              <a:off x="11799229" y="238125"/>
              <a:ext cx="680224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039" name="Graphic 1038" descr="House">
              <a:extLs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1874809" y="247650"/>
              <a:ext cx="535609" cy="540000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List Box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1591927" y="1209675"/>
                <a:ext cx="1071338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" name="List Box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2000000}"/>
                  </a:ext>
                </a:extLst>
              </xdr:cNvPr>
              <xdr:cNvSpPr/>
            </xdr:nvSpPr>
            <xdr:spPr bwMode="auto">
              <a:xfrm>
                <a:off x="18426334" y="1209675"/>
                <a:ext cx="1256053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024" name="Group 1023">
            <a:extLst>
              <a:ext uri="{FF2B5EF4-FFF2-40B4-BE49-F238E27FC236}">
                <a16:creationId xmlns:a16="http://schemas.microsoft.com/office/drawing/2014/main" id="{00000000-0008-0000-0000-000000040000}"/>
              </a:ext>
            </a:extLst>
          </xdr:cNvPr>
          <xdr:cNvGrpSpPr/>
        </xdr:nvGrpSpPr>
        <xdr:grpSpPr>
          <a:xfrm>
            <a:off x="15875554" y="990600"/>
            <a:ext cx="2209539" cy="247467"/>
            <a:chOff x="15875554" y="990600"/>
            <a:chExt cx="2209539" cy="247467"/>
          </a:xfrm>
        </xdr:grpSpPr>
        <xdr:sp macro="[1]!Contact_Save" textlink="">
          <xdr:nvSpPr>
            <xdr:cNvPr id="1035" name="Rectangle 1034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>
            <a:xfrm>
              <a:off x="15875554" y="990600"/>
              <a:ext cx="106722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Send Email</a:t>
              </a:r>
            </a:p>
          </xdr:txBody>
        </xdr:sp>
        <xdr:sp macro="[1]!Contact_New" textlink="">
          <xdr:nvSpPr>
            <xdr:cNvPr id="1033" name="Rectangle 1032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>
            <a:xfrm>
              <a:off x="17017868" y="990600"/>
              <a:ext cx="106722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 Email</a:t>
              </a:r>
            </a:p>
          </xdr:txBody>
        </xdr:sp>
        <xdr:pic macro="[1]!Contact_New">
          <xdr:nvPicPr>
            <xdr:cNvPr id="1130" name="Picture 1129">
              <a:extLs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081195" y="1009650"/>
              <a:ext cx="191464" cy="201019"/>
            </a:xfrm>
            <a:prstGeom prst="rect">
              <a:avLst/>
            </a:prstGeom>
          </xdr:spPr>
        </xdr:pic>
        <xdr:sp macro="[2]!Show_Email" textlink="">
          <xdr:nvSpPr>
            <xdr:cNvPr id="1133" name="Graphic 25" descr="Envelope">
              <a:extLs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>
            <a:xfrm>
              <a:off x="15906750" y="1019175"/>
              <a:ext cx="270000" cy="180000"/>
            </a:xfrm>
            <a:custGeom>
              <a:avLst/>
              <a:gdLst>
                <a:gd name="connsiteX0" fmla="*/ 0 w 450000"/>
                <a:gd name="connsiteY0" fmla="*/ 0 h 315000"/>
                <a:gd name="connsiteX1" fmla="*/ 0 w 450000"/>
                <a:gd name="connsiteY1" fmla="*/ 315000 h 315000"/>
                <a:gd name="connsiteX2" fmla="*/ 450000 w 450000"/>
                <a:gd name="connsiteY2" fmla="*/ 315000 h 315000"/>
                <a:gd name="connsiteX3" fmla="*/ 450000 w 450000"/>
                <a:gd name="connsiteY3" fmla="*/ 0 h 315000"/>
                <a:gd name="connsiteX4" fmla="*/ 0 w 450000"/>
                <a:gd name="connsiteY4" fmla="*/ 0 h 315000"/>
                <a:gd name="connsiteX5" fmla="*/ 232875 w 450000"/>
                <a:gd name="connsiteY5" fmla="*/ 196313 h 315000"/>
                <a:gd name="connsiteX6" fmla="*/ 217125 w 450000"/>
                <a:gd name="connsiteY6" fmla="*/ 196313 h 315000"/>
                <a:gd name="connsiteX7" fmla="*/ 50625 w 450000"/>
                <a:gd name="connsiteY7" fmla="*/ 33750 h 315000"/>
                <a:gd name="connsiteX8" fmla="*/ 399938 w 450000"/>
                <a:gd name="connsiteY8" fmla="*/ 33750 h 315000"/>
                <a:gd name="connsiteX9" fmla="*/ 232875 w 450000"/>
                <a:gd name="connsiteY9" fmla="*/ 196313 h 315000"/>
                <a:gd name="connsiteX10" fmla="*/ 143438 w 450000"/>
                <a:gd name="connsiteY10" fmla="*/ 155813 h 315000"/>
                <a:gd name="connsiteX11" fmla="*/ 33750 w 450000"/>
                <a:gd name="connsiteY11" fmla="*/ 266063 h 315000"/>
                <a:gd name="connsiteX12" fmla="*/ 33750 w 450000"/>
                <a:gd name="connsiteY12" fmla="*/ 48375 h 315000"/>
                <a:gd name="connsiteX13" fmla="*/ 143438 w 450000"/>
                <a:gd name="connsiteY13" fmla="*/ 155813 h 315000"/>
                <a:gd name="connsiteX14" fmla="*/ 159750 w 450000"/>
                <a:gd name="connsiteY14" fmla="*/ 171563 h 315000"/>
                <a:gd name="connsiteX15" fmla="*/ 201938 w 450000"/>
                <a:gd name="connsiteY15" fmla="*/ 212625 h 315000"/>
                <a:gd name="connsiteX16" fmla="*/ 225562 w 450000"/>
                <a:gd name="connsiteY16" fmla="*/ 222188 h 315000"/>
                <a:gd name="connsiteX17" fmla="*/ 249188 w 450000"/>
                <a:gd name="connsiteY17" fmla="*/ 212625 h 315000"/>
                <a:gd name="connsiteX18" fmla="*/ 291375 w 450000"/>
                <a:gd name="connsiteY18" fmla="*/ 171563 h 315000"/>
                <a:gd name="connsiteX19" fmla="*/ 400500 w 450000"/>
                <a:gd name="connsiteY19" fmla="*/ 281250 h 315000"/>
                <a:gd name="connsiteX20" fmla="*/ 50062 w 450000"/>
                <a:gd name="connsiteY20" fmla="*/ 281250 h 315000"/>
                <a:gd name="connsiteX21" fmla="*/ 159750 w 450000"/>
                <a:gd name="connsiteY21" fmla="*/ 171563 h 315000"/>
                <a:gd name="connsiteX22" fmla="*/ 306563 w 450000"/>
                <a:gd name="connsiteY22" fmla="*/ 155813 h 315000"/>
                <a:gd name="connsiteX23" fmla="*/ 416250 w 450000"/>
                <a:gd name="connsiteY23" fmla="*/ 48938 h 315000"/>
                <a:gd name="connsiteX24" fmla="*/ 416250 w 450000"/>
                <a:gd name="connsiteY24" fmla="*/ 265500 h 315000"/>
                <a:gd name="connsiteX25" fmla="*/ 306563 w 450000"/>
                <a:gd name="connsiteY25" fmla="*/ 155813 h 315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450000" h="315000">
                  <a:moveTo>
                    <a:pt x="0" y="0"/>
                  </a:moveTo>
                  <a:lnTo>
                    <a:pt x="0" y="315000"/>
                  </a:lnTo>
                  <a:lnTo>
                    <a:pt x="450000" y="315000"/>
                  </a:lnTo>
                  <a:lnTo>
                    <a:pt x="450000" y="0"/>
                  </a:lnTo>
                  <a:lnTo>
                    <a:pt x="0" y="0"/>
                  </a:lnTo>
                  <a:close/>
                  <a:moveTo>
                    <a:pt x="232875" y="196313"/>
                  </a:moveTo>
                  <a:cubicBezTo>
                    <a:pt x="228375" y="200813"/>
                    <a:pt x="221625" y="200813"/>
                    <a:pt x="217125" y="196313"/>
                  </a:cubicBezTo>
                  <a:lnTo>
                    <a:pt x="50625" y="33750"/>
                  </a:lnTo>
                  <a:lnTo>
                    <a:pt x="399938" y="33750"/>
                  </a:lnTo>
                  <a:lnTo>
                    <a:pt x="232875" y="196313"/>
                  </a:lnTo>
                  <a:close/>
                  <a:moveTo>
                    <a:pt x="143438" y="155813"/>
                  </a:moveTo>
                  <a:lnTo>
                    <a:pt x="33750" y="266063"/>
                  </a:lnTo>
                  <a:lnTo>
                    <a:pt x="33750" y="48375"/>
                  </a:lnTo>
                  <a:lnTo>
                    <a:pt x="143438" y="155813"/>
                  </a:lnTo>
                  <a:close/>
                  <a:moveTo>
                    <a:pt x="159750" y="171563"/>
                  </a:moveTo>
                  <a:lnTo>
                    <a:pt x="201938" y="212625"/>
                  </a:lnTo>
                  <a:cubicBezTo>
                    <a:pt x="208687" y="218813"/>
                    <a:pt x="217125" y="222188"/>
                    <a:pt x="225562" y="222188"/>
                  </a:cubicBezTo>
                  <a:cubicBezTo>
                    <a:pt x="234000" y="222188"/>
                    <a:pt x="242437" y="218813"/>
                    <a:pt x="249188" y="212625"/>
                  </a:cubicBezTo>
                  <a:lnTo>
                    <a:pt x="291375" y="171563"/>
                  </a:lnTo>
                  <a:lnTo>
                    <a:pt x="400500" y="281250"/>
                  </a:lnTo>
                  <a:lnTo>
                    <a:pt x="50062" y="281250"/>
                  </a:lnTo>
                  <a:lnTo>
                    <a:pt x="159750" y="171563"/>
                  </a:lnTo>
                  <a:close/>
                  <a:moveTo>
                    <a:pt x="306563" y="155813"/>
                  </a:moveTo>
                  <a:lnTo>
                    <a:pt x="416250" y="48938"/>
                  </a:lnTo>
                  <a:lnTo>
                    <a:pt x="416250" y="265500"/>
                  </a:lnTo>
                  <a:lnTo>
                    <a:pt x="306563" y="155813"/>
                  </a:lnTo>
                  <a:close/>
                </a:path>
              </a:pathLst>
            </a:custGeom>
            <a:solidFill>
              <a:schemeClr val="bg1"/>
            </a:solidFill>
            <a:ln w="555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</xdr:grpSp>
    </xdr:grpSp>
    <xdr:clientData/>
  </xdr:twoCellAnchor>
  <xdr:twoCellAnchor>
    <xdr:from>
      <xdr:col>26</xdr:col>
      <xdr:colOff>0</xdr:colOff>
      <xdr:row>0</xdr:row>
      <xdr:rowOff>161925</xdr:rowOff>
    </xdr:from>
    <xdr:to>
      <xdr:col>31</xdr:col>
      <xdr:colOff>1543957</xdr:colOff>
      <xdr:row>15</xdr:row>
      <xdr:rowOff>0</xdr:rowOff>
    </xdr:to>
    <xdr:grpSp>
      <xdr:nvGrpSpPr>
        <xdr:cNvPr id="46" name="DocumentGrp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pSpPr/>
      </xdr:nvGrpSpPr>
      <xdr:grpSpPr>
        <a:xfrm>
          <a:off x="10687050" y="161925"/>
          <a:ext cx="0" cy="3552825"/>
          <a:chOff x="10553700" y="161925"/>
          <a:chExt cx="17879332" cy="3552825"/>
        </a:xfrm>
      </xdr:grpSpPr>
      <xdr:grpSp>
        <xdr:nvGrpSpPr>
          <xdr:cNvPr id="1136" name="HomeButton">
            <a:extLst>
              <a:ext uri="{FF2B5EF4-FFF2-40B4-BE49-F238E27FC236}">
                <a16:creationId xmlns:a16="http://schemas.microsoft.com/office/drawing/2014/main" id="{00000000-0008-0000-0000-000070040000}"/>
              </a:ext>
            </a:extLst>
          </xdr:cNvPr>
          <xdr:cNvGrpSpPr/>
        </xdr:nvGrpSpPr>
        <xdr:grpSpPr>
          <a:xfrm>
            <a:off x="22145625" y="247650"/>
            <a:ext cx="687600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[0]!Show_Home" textlink="">
          <xdr:nvSpPr>
            <xdr:cNvPr id="1144" name="Rectangle 1143">
              <a:extLs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145" name="Graphic 1144" descr="House">
              <a:extLs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List Box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10553700" y="1219200"/>
                <a:ext cx="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138" name="Group 1137">
            <a:extLst>
              <a:ext uri="{FF2B5EF4-FFF2-40B4-BE49-F238E27FC236}">
                <a16:creationId xmlns:a16="http://schemas.microsoft.com/office/drawing/2014/main" id="{00000000-0008-0000-0000-000072040000}"/>
              </a:ext>
            </a:extLst>
          </xdr:cNvPr>
          <xdr:cNvGrpSpPr/>
        </xdr:nvGrpSpPr>
        <xdr:grpSpPr>
          <a:xfrm>
            <a:off x="25647025" y="981075"/>
            <a:ext cx="2786007" cy="270000"/>
            <a:chOff x="26342350" y="971550"/>
            <a:chExt cx="2786007" cy="270000"/>
          </a:xfrm>
        </xdr:grpSpPr>
        <xdr:sp macro="[1]!Contact_Save" textlink="">
          <xdr:nvSpPr>
            <xdr:cNvPr id="1140" name="Rectangle 1139">
              <a:extLs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>
            <a:xfrm>
              <a:off x="26342350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Document</a:t>
              </a:r>
            </a:p>
          </xdr:txBody>
        </xdr:sp>
        <xdr:sp macro="[1]!Contact_New" textlink="">
          <xdr:nvSpPr>
            <xdr:cNvPr id="1141" name="Rectangle 1140">
              <a:extLs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>
            <a:xfrm>
              <a:off x="27763957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Add Document</a:t>
              </a:r>
            </a:p>
            <a:p>
              <a:pPr algn="r"/>
              <a:endParaRPr lang="en-US" sz="1100" b="1"/>
            </a:p>
          </xdr:txBody>
        </xdr:sp>
        <xdr:pic>
          <xdr:nvPicPr>
            <xdr:cNvPr id="1142" name="Graphic 1141" descr="Open folder">
              <a:extLs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6422350" y="971550"/>
              <a:ext cx="270000" cy="270000"/>
            </a:xfrm>
            <a:prstGeom prst="rect">
              <a:avLst/>
            </a:prstGeom>
          </xdr:spPr>
        </xdr:pic>
        <xdr:pic macro="[1]!Contact_New">
          <xdr:nvPicPr>
            <xdr:cNvPr id="1143" name="Picture 1142">
              <a:extLs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7831120" y="1019175"/>
              <a:ext cx="191464" cy="201019"/>
            </a:xfrm>
            <a:prstGeom prst="rect">
              <a:avLst/>
            </a:prstGeom>
          </xdr:spPr>
        </xdr:pic>
      </xdr:grpSp>
      <xdr:pic>
        <xdr:nvPicPr>
          <xdr:cNvPr id="1139" name="Graphic 1138" descr="Open folder">
            <a:extLst>
              <a:ext uri="{FF2B5EF4-FFF2-40B4-BE49-F238E27FC236}">
                <a16:creationId xmlns:a16="http://schemas.microsoft.com/office/drawing/2014/main" id="{00000000-0008-0000-0000-000073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24305400" y="161925"/>
            <a:ext cx="1080000" cy="1080000"/>
          </a:xfrm>
          <a:prstGeom prst="rect">
            <a:avLst/>
          </a:prstGeom>
        </xdr:spPr>
      </xdr:pic>
    </xdr:grpSp>
    <xdr:clientData/>
  </xdr:twoCellAnchor>
  <xdr:twoCellAnchor>
    <xdr:from>
      <xdr:col>40</xdr:col>
      <xdr:colOff>0</xdr:colOff>
      <xdr:row>0</xdr:row>
      <xdr:rowOff>133350</xdr:rowOff>
    </xdr:from>
    <xdr:to>
      <xdr:col>45</xdr:col>
      <xdr:colOff>1391556</xdr:colOff>
      <xdr:row>14</xdr:row>
      <xdr:rowOff>190500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10687050" y="133350"/>
          <a:ext cx="0" cy="3571875"/>
          <a:chOff x="10553700" y="133350"/>
          <a:chExt cx="30338031" cy="3571875"/>
        </a:xfrm>
      </xdr:grpSpPr>
      <xdr:grpSp>
        <xdr:nvGrpSpPr>
          <xdr:cNvPr id="50" name="HomeButton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GrpSpPr/>
        </xdr:nvGrpSpPr>
        <xdr:grpSpPr>
          <a:xfrm>
            <a:off x="34537781" y="238125"/>
            <a:ext cx="687600" cy="590550"/>
            <a:chOff x="32461200" y="323850"/>
            <a:chExt cx="659084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[0]!Show_Home" textlink="">
          <xdr:nvSpPr>
            <xdr:cNvPr id="1154" name="Rectangle 1153">
              <a:extLs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>
            <a:xfrm>
              <a:off x="32461200" y="323850"/>
              <a:ext cx="659084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155" name="Graphic 1154" descr="House">
              <a:extLs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List Box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000-000016040000}"/>
                  </a:ext>
                </a:extLst>
              </xdr:cNvPr>
              <xdr:cNvSpPr/>
            </xdr:nvSpPr>
            <xdr:spPr bwMode="auto">
              <a:xfrm>
                <a:off x="10553700" y="1209675"/>
                <a:ext cx="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GrpSpPr/>
        </xdr:nvGrpSpPr>
        <xdr:grpSpPr>
          <a:xfrm>
            <a:off x="37992793" y="981075"/>
            <a:ext cx="2898938" cy="247467"/>
            <a:chOff x="38886775" y="981075"/>
            <a:chExt cx="2786007" cy="247467"/>
          </a:xfrm>
        </xdr:grpSpPr>
        <xdr:sp macro="[1]!Contact_Save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SpPr/>
          </xdr:nvSpPr>
          <xdr:spPr>
            <a:xfrm>
              <a:off x="38886775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Reminder</a:t>
              </a:r>
            </a:p>
          </xdr:txBody>
        </xdr:sp>
        <xdr:sp macro="[1]!Contact_New" textlink="">
          <xdr:nvSpPr>
            <xdr:cNvPr id="63" name="Rectangle 62">
              <a:extLst>
                <a:ext uri="{FF2B5EF4-FFF2-40B4-BE49-F238E27FC236}">
                  <a16:creationId xmlns:a16="http://schemas.microsoft.com/office/drawing/2014/main" id="{00000000-0008-0000-0000-00003F000000}"/>
                </a:ext>
              </a:extLst>
            </xdr:cNvPr>
            <xdr:cNvSpPr/>
          </xdr:nvSpPr>
          <xdr:spPr>
            <a:xfrm>
              <a:off x="40308382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</a:t>
              </a:r>
              <a:r>
                <a:rPr lang="en-US" sz="1100" b="1" baseline="0"/>
                <a:t> Reminder</a:t>
              </a:r>
              <a:endParaRPr lang="en-US" sz="1100" b="1"/>
            </a:p>
          </xdr:txBody>
        </xdr:sp>
        <xdr:pic macro="[1]!Contact_New">
          <xdr:nvPicPr>
            <xdr:cNvPr id="1152" name="Picture 1151">
              <a:extLs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375545" y="1019175"/>
              <a:ext cx="191464" cy="201019"/>
            </a:xfrm>
            <a:prstGeom prst="rect">
              <a:avLst/>
            </a:prstGeom>
          </xdr:spPr>
        </xdr:pic>
        <xdr:pic macro="[1]!Contact_Save">
          <xdr:nvPicPr>
            <xdr:cNvPr id="1153" name="Picture 1152">
              <a:extLs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985825" y="1000125"/>
              <a:ext cx="189522" cy="201019"/>
            </a:xfrm>
            <a:prstGeom prst="rect">
              <a:avLst/>
            </a:prstGeom>
          </xdr:spPr>
        </xdr:pic>
      </xdr:grpSp>
      <xdr:pic>
        <xdr:nvPicPr>
          <xdr:cNvPr id="61" name="Graphic 60" descr="Daily calendar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36651335" y="133350"/>
            <a:ext cx="1123778" cy="108000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ario_backup\Desktop\mario\Tesseral\2024\CRM\Mini_CRM.xlsm" TargetMode="External"/><Relationship Id="rId1" Type="http://schemas.openxmlformats.org/officeDocument/2006/relationships/externalLinkPath" Target="Mini_CRM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ario_backup\Desktop\mario\Tesseral\2024\CRM\CRM_may2024_v2.xlsx" TargetMode="External"/><Relationship Id="rId1" Type="http://schemas.openxmlformats.org/officeDocument/2006/relationships/externalLinkPath" Target="CRM_may2024_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ini-CRM"/>
      <sheetName val="Contacts"/>
      <sheetName val="Documents"/>
      <sheetName val="Emails"/>
      <sheetName val="Reminder"/>
    </sheetNames>
    <definedNames>
      <definedName name="Contact_New"/>
      <definedName name="Contact_Save"/>
      <definedName name="Contact_Selec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ini-CRM"/>
      <sheetName val="Contacts"/>
      <sheetName val="Documents"/>
      <sheetName val="Emails"/>
      <sheetName val="Reminder"/>
      <sheetName val="CRM_may2024_v2"/>
    </sheetNames>
    <definedNames>
      <definedName name="Show_Email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Lisa@gmail.com" TargetMode="External"/><Relationship Id="rId7" Type="http://schemas.openxmlformats.org/officeDocument/2006/relationships/hyperlink" Target="mailto:John@gmail.com" TargetMode="External"/><Relationship Id="rId2" Type="http://schemas.openxmlformats.org/officeDocument/2006/relationships/hyperlink" Target="mailto:David@gmail.com" TargetMode="External"/><Relationship Id="rId1" Type="http://schemas.openxmlformats.org/officeDocument/2006/relationships/hyperlink" Target="mailto:Fred@Gmail.com" TargetMode="External"/><Relationship Id="rId6" Type="http://schemas.openxmlformats.org/officeDocument/2006/relationships/hyperlink" Target="mailto:Mary@gmail.com" TargetMode="External"/><Relationship Id="rId5" Type="http://schemas.openxmlformats.org/officeDocument/2006/relationships/hyperlink" Target="mailto:Beth@gmail.com" TargetMode="External"/><Relationship Id="rId4" Type="http://schemas.openxmlformats.org/officeDocument/2006/relationships/hyperlink" Target="mailto:Joh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DBA8C-6DF0-4F10-81E2-52CFE31E4842}">
  <sheetPr codeName="Sheet1"/>
  <dimension ref="A1:BC81"/>
  <sheetViews>
    <sheetView tabSelected="1" zoomScaleNormal="100" workbookViewId="0">
      <selection activeCell="Q15" sqref="Q15"/>
    </sheetView>
  </sheetViews>
  <sheetFormatPr defaultRowHeight="15" x14ac:dyDescent="0.25"/>
  <cols>
    <col min="1" max="1" width="16.85546875" bestFit="1" customWidth="1"/>
    <col min="4" max="4" width="16.7109375" hidden="1" customWidth="1"/>
    <col min="5" max="5" width="5.5703125" hidden="1" customWidth="1"/>
    <col min="6" max="6" width="13.85546875" hidden="1" customWidth="1"/>
    <col min="7" max="7" width="25.5703125" hidden="1" customWidth="1"/>
    <col min="8" max="8" width="12.42578125" hidden="1" customWidth="1"/>
    <col min="9" max="9" width="27.28515625" hidden="1" customWidth="1"/>
    <col min="10" max="10" width="3.42578125" hidden="1" customWidth="1"/>
    <col min="11" max="14" width="9.140625" hidden="1" customWidth="1"/>
    <col min="15" max="15" width="16.5703125" customWidth="1"/>
    <col min="16" max="16" width="5.5703125" customWidth="1"/>
    <col min="17" max="17" width="13.85546875" customWidth="1"/>
    <col min="18" max="18" width="26.28515625" customWidth="1"/>
    <col min="19" max="19" width="12.85546875" customWidth="1"/>
    <col min="20" max="20" width="26" customWidth="1"/>
    <col min="21" max="21" width="4.5703125" customWidth="1"/>
    <col min="22" max="22" width="19.42578125" customWidth="1"/>
    <col min="23" max="26" width="9.140625" hidden="1" customWidth="1"/>
    <col min="27" max="27" width="16.5703125" hidden="1" customWidth="1"/>
    <col min="28" max="28" width="5.5703125" hidden="1" customWidth="1"/>
    <col min="29" max="29" width="16.7109375" hidden="1" customWidth="1"/>
    <col min="30" max="30" width="26.28515625" hidden="1" customWidth="1"/>
    <col min="31" max="31" width="9.140625" hidden="1" customWidth="1"/>
    <col min="32" max="32" width="35" hidden="1" customWidth="1"/>
    <col min="33" max="33" width="4.5703125" hidden="1" customWidth="1"/>
    <col min="34" max="34" width="16.5703125" hidden="1" customWidth="1"/>
    <col min="35" max="40" width="9.140625" hidden="1" customWidth="1"/>
    <col min="41" max="41" width="20.42578125" hidden="1" customWidth="1"/>
    <col min="42" max="42" width="5.5703125" hidden="1" customWidth="1"/>
    <col min="43" max="43" width="16.7109375" hidden="1" customWidth="1"/>
    <col min="44" max="44" width="26.28515625" hidden="1" customWidth="1"/>
    <col min="45" max="45" width="9.140625" hidden="1" customWidth="1"/>
    <col min="46" max="46" width="35" hidden="1" customWidth="1"/>
    <col min="47" max="51" width="9.140625" hidden="1" customWidth="1"/>
    <col min="52" max="52" width="117.42578125" hidden="1" customWidth="1"/>
    <col min="55" max="55" width="91.42578125" customWidth="1"/>
  </cols>
  <sheetData>
    <row r="1" spans="1:55" ht="80.25" customHeight="1" thickBot="1" x14ac:dyDescent="0.3">
      <c r="A1" s="1" t="s">
        <v>4</v>
      </c>
      <c r="B1" s="1"/>
      <c r="C1" s="5"/>
      <c r="D1" s="5"/>
      <c r="E1" s="5"/>
      <c r="F1" s="26" t="s">
        <v>20</v>
      </c>
      <c r="G1" s="26"/>
      <c r="H1" s="26"/>
      <c r="I1" s="26"/>
      <c r="J1" s="26"/>
      <c r="K1" s="26"/>
      <c r="L1" s="5"/>
      <c r="M1" s="5"/>
      <c r="N1" s="5"/>
      <c r="O1" s="5"/>
      <c r="P1" s="5"/>
      <c r="Q1" s="26" t="s">
        <v>94</v>
      </c>
      <c r="R1" s="26"/>
      <c r="S1" s="26"/>
      <c r="T1" s="26"/>
      <c r="U1" s="26"/>
      <c r="V1" s="26"/>
      <c r="W1" s="5"/>
      <c r="X1" s="5"/>
      <c r="Y1" s="5"/>
      <c r="Z1" s="5"/>
      <c r="AA1" s="5"/>
      <c r="AB1" s="5"/>
      <c r="AC1" s="26" t="s">
        <v>101</v>
      </c>
      <c r="AD1" s="26"/>
      <c r="AE1" s="26"/>
      <c r="AF1" s="26"/>
      <c r="AG1" s="26"/>
      <c r="AH1" s="26"/>
      <c r="AI1" s="5"/>
      <c r="AJ1" s="5"/>
      <c r="AK1" s="5"/>
      <c r="AL1" s="5"/>
      <c r="AM1" s="5"/>
      <c r="AN1" s="5"/>
      <c r="AO1" s="5"/>
      <c r="AP1" s="5"/>
      <c r="AQ1" s="26" t="s">
        <v>107</v>
      </c>
      <c r="AR1" s="26"/>
      <c r="AS1" s="26"/>
      <c r="AT1" s="26"/>
      <c r="AU1" s="26"/>
      <c r="AV1" s="26"/>
      <c r="AW1" s="5"/>
      <c r="AX1" s="5"/>
      <c r="AY1" s="5"/>
      <c r="AZ1" s="5"/>
      <c r="BA1" s="5"/>
      <c r="BB1" s="5"/>
      <c r="BC1" s="5"/>
    </row>
    <row r="2" spans="1:55" ht="15" customHeight="1" thickBot="1" x14ac:dyDescent="0.3">
      <c r="A2" s="2" t="s">
        <v>5</v>
      </c>
      <c r="B2" s="3" t="b">
        <v>0</v>
      </c>
      <c r="C2" s="6"/>
      <c r="D2" s="23" t="s">
        <v>20</v>
      </c>
      <c r="E2" s="6"/>
      <c r="F2" s="21" t="s">
        <v>89</v>
      </c>
      <c r="G2" s="20" t="s">
        <v>32</v>
      </c>
      <c r="H2" s="6"/>
      <c r="I2" s="6"/>
      <c r="J2" s="6"/>
      <c r="K2" s="6"/>
      <c r="L2" s="6"/>
      <c r="M2" s="6"/>
      <c r="N2" s="6"/>
      <c r="O2" s="23" t="s">
        <v>100</v>
      </c>
      <c r="P2" s="6"/>
      <c r="Q2" s="21" t="s">
        <v>95</v>
      </c>
      <c r="R2" s="20" t="s">
        <v>30</v>
      </c>
      <c r="S2" s="6"/>
      <c r="T2" s="6"/>
      <c r="U2" s="6"/>
      <c r="V2" s="23" t="s">
        <v>99</v>
      </c>
      <c r="W2" s="6"/>
      <c r="X2" s="6"/>
      <c r="Y2" s="6"/>
      <c r="Z2" s="6"/>
      <c r="AA2" s="23" t="s">
        <v>102</v>
      </c>
      <c r="AB2" s="6"/>
      <c r="AC2" s="19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23" t="s">
        <v>111</v>
      </c>
      <c r="AP2" s="6"/>
      <c r="AQ2" s="19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</row>
    <row r="3" spans="1:55" ht="15" customHeight="1" thickBot="1" x14ac:dyDescent="0.3">
      <c r="A3" s="2" t="s">
        <v>6</v>
      </c>
      <c r="B3" s="3">
        <v>4</v>
      </c>
      <c r="C3" s="6"/>
      <c r="D3" s="6"/>
      <c r="E3" s="6"/>
      <c r="F3" s="19"/>
      <c r="G3" s="6"/>
      <c r="H3" s="6"/>
      <c r="I3" s="6"/>
      <c r="J3" s="6"/>
      <c r="K3" s="6"/>
      <c r="L3" s="6"/>
      <c r="M3" s="6"/>
      <c r="N3" s="6"/>
      <c r="O3" s="6"/>
      <c r="P3" s="6"/>
      <c r="Q3" s="19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19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19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</row>
    <row r="4" spans="1:55" ht="15" customHeight="1" thickBot="1" x14ac:dyDescent="0.3">
      <c r="A4" s="2" t="s">
        <v>7</v>
      </c>
      <c r="B4" s="3">
        <f ca="1">IFERROR(MATCH(G2,ContactNames,0)+3,"")</f>
        <v>7</v>
      </c>
      <c r="C4" s="6"/>
      <c r="D4" s="6"/>
      <c r="E4" s="6"/>
      <c r="F4" s="21" t="s">
        <v>90</v>
      </c>
      <c r="G4" s="20" t="s">
        <v>32</v>
      </c>
      <c r="H4" s="21" t="s">
        <v>91</v>
      </c>
      <c r="I4" s="20">
        <v>3105558695</v>
      </c>
      <c r="J4" s="6"/>
      <c r="K4" s="6"/>
      <c r="L4" s="6"/>
      <c r="M4" s="6"/>
      <c r="N4" s="6"/>
      <c r="O4" s="6"/>
      <c r="P4" s="6"/>
      <c r="Q4" s="21" t="s">
        <v>96</v>
      </c>
      <c r="R4" s="20" t="s">
        <v>31</v>
      </c>
      <c r="S4" s="21" t="s">
        <v>91</v>
      </c>
      <c r="T4" s="20"/>
      <c r="U4" s="6"/>
      <c r="V4" s="6"/>
      <c r="W4" s="6"/>
      <c r="X4" s="6"/>
      <c r="Y4" s="6"/>
      <c r="Z4" s="6"/>
      <c r="AA4" s="6"/>
      <c r="AB4" s="6"/>
      <c r="AC4" s="21" t="s">
        <v>103</v>
      </c>
      <c r="AD4" s="20"/>
      <c r="AE4" s="21" t="s">
        <v>104</v>
      </c>
      <c r="AF4" s="20"/>
      <c r="AG4" s="6"/>
      <c r="AH4" s="6"/>
      <c r="AI4" s="6"/>
      <c r="AJ4" s="6"/>
      <c r="AK4" s="6"/>
      <c r="AL4" s="6"/>
      <c r="AM4" s="6"/>
      <c r="AN4" s="6"/>
      <c r="AO4" s="6"/>
      <c r="AP4" s="6"/>
      <c r="AQ4" s="21" t="s">
        <v>108</v>
      </c>
      <c r="AR4" s="20"/>
      <c r="AS4" s="21" t="s">
        <v>104</v>
      </c>
      <c r="AT4" s="20"/>
      <c r="AU4" s="6"/>
      <c r="AV4" s="6"/>
      <c r="AW4" s="6"/>
      <c r="AX4" s="6"/>
      <c r="AY4" s="6"/>
      <c r="AZ4" s="6"/>
      <c r="BA4" s="6"/>
      <c r="BB4" s="6"/>
      <c r="BC4" s="6"/>
    </row>
    <row r="5" spans="1:55" ht="15" customHeight="1" thickBot="1" x14ac:dyDescent="0.3">
      <c r="A5" s="1" t="s">
        <v>8</v>
      </c>
      <c r="B5" s="4"/>
      <c r="C5" s="6"/>
      <c r="D5" s="6"/>
      <c r="E5" s="6"/>
      <c r="F5" s="19"/>
      <c r="G5" s="6"/>
      <c r="H5" s="6"/>
      <c r="I5" s="6"/>
      <c r="J5" s="6"/>
      <c r="K5" s="6"/>
      <c r="L5" s="6"/>
      <c r="M5" s="6"/>
      <c r="N5" s="6"/>
      <c r="O5" s="6"/>
      <c r="P5" s="6"/>
      <c r="Q5" s="19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9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19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</row>
    <row r="6" spans="1:55" ht="15" customHeight="1" thickBot="1" x14ac:dyDescent="0.3">
      <c r="A6" s="2" t="s">
        <v>9</v>
      </c>
      <c r="B6" s="3" t="b">
        <v>0</v>
      </c>
      <c r="C6" s="6"/>
      <c r="D6" s="6"/>
      <c r="E6" s="6"/>
      <c r="F6" s="21" t="s">
        <v>92</v>
      </c>
      <c r="G6" s="45" t="s">
        <v>33</v>
      </c>
      <c r="H6" s="46"/>
      <c r="I6" s="47"/>
      <c r="J6" s="6"/>
      <c r="K6" s="6"/>
      <c r="L6" s="6"/>
      <c r="M6" s="6"/>
      <c r="N6" s="6"/>
      <c r="O6" s="6"/>
      <c r="P6" s="6"/>
      <c r="Q6" s="21" t="s">
        <v>97</v>
      </c>
      <c r="R6" s="54"/>
      <c r="S6" s="55"/>
      <c r="T6" s="53"/>
      <c r="U6" s="6"/>
      <c r="V6" s="6"/>
      <c r="W6" s="6"/>
      <c r="X6" s="6"/>
      <c r="Y6" s="6"/>
      <c r="Z6" s="6"/>
      <c r="AA6" s="6"/>
      <c r="AB6" s="6"/>
      <c r="AC6" s="21" t="s">
        <v>105</v>
      </c>
      <c r="AD6" s="20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21" t="s">
        <v>110</v>
      </c>
      <c r="AR6" s="24"/>
      <c r="AS6" s="21" t="s">
        <v>109</v>
      </c>
      <c r="AT6" s="25"/>
      <c r="AU6" s="6"/>
      <c r="AV6" s="6"/>
      <c r="AW6" s="6"/>
      <c r="AX6" s="6"/>
      <c r="AY6" s="6"/>
      <c r="AZ6" s="6"/>
      <c r="BA6" s="6"/>
      <c r="BB6" s="6"/>
      <c r="BC6" s="6"/>
    </row>
    <row r="7" spans="1:55" ht="15.75" thickBot="1" x14ac:dyDescent="0.3">
      <c r="A7" s="2" t="s">
        <v>10</v>
      </c>
      <c r="B7" s="3">
        <v>1</v>
      </c>
      <c r="C7" s="6"/>
      <c r="D7" s="6"/>
      <c r="E7" s="6"/>
      <c r="F7" s="19"/>
      <c r="G7" s="6"/>
      <c r="H7" s="6"/>
      <c r="I7" s="6"/>
      <c r="J7" s="6"/>
      <c r="K7" s="6"/>
      <c r="L7" s="6"/>
      <c r="M7" s="6"/>
      <c r="N7" s="6"/>
      <c r="O7" s="6"/>
      <c r="P7" s="6"/>
      <c r="Q7" s="19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19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19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</row>
    <row r="8" spans="1:55" ht="15.75" thickBot="1" x14ac:dyDescent="0.3">
      <c r="A8" s="2" t="s">
        <v>11</v>
      </c>
      <c r="B8" s="3" t="str">
        <f ca="1">IFERROR(MATCH(AD4,Documents,0)+3,"")</f>
        <v/>
      </c>
      <c r="C8" s="6"/>
      <c r="D8" s="6"/>
      <c r="E8" s="6"/>
      <c r="F8" s="22" t="s">
        <v>93</v>
      </c>
      <c r="G8" s="36"/>
      <c r="H8" s="37"/>
      <c r="I8" s="38"/>
      <c r="J8" s="6"/>
      <c r="K8" s="6"/>
      <c r="L8" s="6"/>
      <c r="M8" s="6"/>
      <c r="N8" s="6"/>
      <c r="O8" s="6"/>
      <c r="P8" s="6"/>
      <c r="Q8" s="22" t="s">
        <v>98</v>
      </c>
      <c r="R8" s="27"/>
      <c r="S8" s="28"/>
      <c r="T8" s="29"/>
      <c r="U8" s="6"/>
      <c r="V8" s="6"/>
      <c r="W8" s="6"/>
      <c r="X8" s="6"/>
      <c r="Y8" s="6"/>
      <c r="Z8" s="6"/>
      <c r="AA8" s="6"/>
      <c r="AB8" s="6"/>
      <c r="AC8" s="22" t="s">
        <v>106</v>
      </c>
      <c r="AD8" s="27"/>
      <c r="AE8" s="28"/>
      <c r="AF8" s="29"/>
      <c r="AG8" s="6"/>
      <c r="AH8" s="6"/>
      <c r="AI8" s="6"/>
      <c r="AJ8" s="6"/>
      <c r="AK8" s="6"/>
      <c r="AL8" s="6"/>
      <c r="AM8" s="6"/>
      <c r="AN8" s="6"/>
      <c r="AO8" s="6"/>
      <c r="AP8" s="6"/>
      <c r="AQ8" s="22" t="s">
        <v>112</v>
      </c>
      <c r="AR8" s="27"/>
      <c r="AS8" s="28"/>
      <c r="AT8" s="29"/>
      <c r="AU8" s="6"/>
      <c r="AV8" s="6"/>
      <c r="AW8" s="6"/>
      <c r="AX8" s="6"/>
      <c r="AY8" s="6"/>
      <c r="AZ8" s="6"/>
      <c r="BA8" s="6"/>
      <c r="BB8" s="6"/>
      <c r="BC8" s="6"/>
    </row>
    <row r="9" spans="1:55" x14ac:dyDescent="0.25">
      <c r="A9" s="1" t="s">
        <v>12</v>
      </c>
      <c r="B9" s="4"/>
      <c r="C9" s="6"/>
      <c r="D9" s="6"/>
      <c r="E9" s="6"/>
      <c r="F9" s="6"/>
      <c r="G9" s="39"/>
      <c r="H9" s="40"/>
      <c r="I9" s="41"/>
      <c r="J9" s="6"/>
      <c r="K9" s="6"/>
      <c r="L9" s="6"/>
      <c r="M9" s="6"/>
      <c r="N9" s="6"/>
      <c r="O9" s="6"/>
      <c r="P9" s="6"/>
      <c r="Q9" s="6"/>
      <c r="R9" s="30"/>
      <c r="S9" s="31"/>
      <c r="T9" s="32"/>
      <c r="U9" s="6"/>
      <c r="V9" s="6"/>
      <c r="W9" s="6"/>
      <c r="X9" s="6"/>
      <c r="Y9" s="6"/>
      <c r="Z9" s="6"/>
      <c r="AA9" s="6"/>
      <c r="AB9" s="6"/>
      <c r="AC9" s="6"/>
      <c r="AD9" s="30"/>
      <c r="AE9" s="31"/>
      <c r="AF9" s="32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30"/>
      <c r="AS9" s="31"/>
      <c r="AT9" s="32"/>
      <c r="AU9" s="6"/>
      <c r="AV9" s="6"/>
      <c r="AW9" s="6"/>
      <c r="AX9" s="6"/>
      <c r="AY9" s="6"/>
      <c r="AZ9" s="6"/>
      <c r="BA9" s="6"/>
      <c r="BB9" s="6"/>
      <c r="BC9" s="6"/>
    </row>
    <row r="10" spans="1:55" x14ac:dyDescent="0.25">
      <c r="A10" s="2" t="s">
        <v>13</v>
      </c>
      <c r="B10" s="3" t="b">
        <v>0</v>
      </c>
      <c r="C10" s="6"/>
      <c r="D10" s="6"/>
      <c r="E10" s="6"/>
      <c r="F10" s="6"/>
      <c r="G10" s="39"/>
      <c r="H10" s="40"/>
      <c r="I10" s="41"/>
      <c r="J10" s="6"/>
      <c r="K10" s="6"/>
      <c r="L10" s="6"/>
      <c r="M10" s="6"/>
      <c r="N10" s="6"/>
      <c r="O10" s="6"/>
      <c r="P10" s="6"/>
      <c r="Q10" s="6"/>
      <c r="R10" s="30"/>
      <c r="S10" s="31"/>
      <c r="T10" s="32"/>
      <c r="U10" s="6"/>
      <c r="V10" s="6"/>
      <c r="W10" s="6"/>
      <c r="X10" s="6"/>
      <c r="Y10" s="6"/>
      <c r="Z10" s="6"/>
      <c r="AA10" s="6"/>
      <c r="AB10" s="6"/>
      <c r="AC10" s="6"/>
      <c r="AD10" s="30"/>
      <c r="AE10" s="31"/>
      <c r="AF10" s="32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30"/>
      <c r="AS10" s="31"/>
      <c r="AT10" s="32"/>
      <c r="AU10" s="6"/>
      <c r="AV10" s="6"/>
      <c r="AW10" s="6"/>
      <c r="AX10" s="6"/>
      <c r="AY10" s="6"/>
      <c r="AZ10" s="6"/>
      <c r="BA10" s="6"/>
      <c r="BB10" s="6"/>
      <c r="BC10" s="6"/>
    </row>
    <row r="11" spans="1:55" x14ac:dyDescent="0.25">
      <c r="A11" s="2" t="s">
        <v>13</v>
      </c>
      <c r="B11" s="3" t="b">
        <v>0</v>
      </c>
      <c r="C11" s="6"/>
      <c r="D11" s="6"/>
      <c r="E11" s="6"/>
      <c r="F11" s="6"/>
      <c r="G11" s="39"/>
      <c r="H11" s="40"/>
      <c r="I11" s="41"/>
      <c r="J11" s="6"/>
      <c r="K11" s="6"/>
      <c r="L11" s="6"/>
      <c r="M11" s="6"/>
      <c r="N11" s="6"/>
      <c r="O11" s="6"/>
      <c r="P11" s="6"/>
      <c r="Q11" s="6"/>
      <c r="R11" s="30"/>
      <c r="S11" s="31"/>
      <c r="T11" s="32"/>
      <c r="U11" s="6"/>
      <c r="V11" s="6"/>
      <c r="W11" s="6"/>
      <c r="X11" s="6"/>
      <c r="Y11" s="6"/>
      <c r="Z11" s="6"/>
      <c r="AA11" s="6"/>
      <c r="AB11" s="6"/>
      <c r="AC11" s="6"/>
      <c r="AD11" s="30"/>
      <c r="AE11" s="31"/>
      <c r="AF11" s="32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30"/>
      <c r="AS11" s="31"/>
      <c r="AT11" s="32"/>
      <c r="AU11" s="6"/>
      <c r="AV11" s="6"/>
      <c r="AW11" s="6"/>
      <c r="AX11" s="6"/>
      <c r="AY11" s="6"/>
      <c r="AZ11" s="6"/>
      <c r="BA11" s="6"/>
      <c r="BB11" s="6"/>
      <c r="BC11" s="6"/>
    </row>
    <row r="12" spans="1:55" x14ac:dyDescent="0.25">
      <c r="A12" s="2" t="s">
        <v>7</v>
      </c>
      <c r="B12" s="3">
        <f ca="1">IFERROR(MATCH(R2,ContactNames,0)+3,"")</f>
        <v>6</v>
      </c>
      <c r="C12" s="6"/>
      <c r="D12" s="6"/>
      <c r="E12" s="6"/>
      <c r="F12" s="6"/>
      <c r="G12" s="39"/>
      <c r="H12" s="40"/>
      <c r="I12" s="41"/>
      <c r="J12" s="6"/>
      <c r="K12" s="6"/>
      <c r="L12" s="6"/>
      <c r="M12" s="6"/>
      <c r="N12" s="6"/>
      <c r="O12" s="6"/>
      <c r="P12" s="6"/>
      <c r="Q12" s="6"/>
      <c r="R12" s="30"/>
      <c r="S12" s="31"/>
      <c r="T12" s="32"/>
      <c r="U12" s="6"/>
      <c r="V12" s="6"/>
      <c r="W12" s="6"/>
      <c r="X12" s="6"/>
      <c r="Y12" s="6"/>
      <c r="Z12" s="6"/>
      <c r="AA12" s="6"/>
      <c r="AB12" s="6"/>
      <c r="AC12" s="6"/>
      <c r="AD12" s="30"/>
      <c r="AE12" s="31"/>
      <c r="AF12" s="32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30"/>
      <c r="AS12" s="31"/>
      <c r="AT12" s="32"/>
      <c r="AU12" s="6"/>
      <c r="AV12" s="6"/>
      <c r="AW12" s="6"/>
      <c r="AX12" s="6"/>
      <c r="AY12" s="6"/>
      <c r="AZ12" s="6"/>
      <c r="BA12" s="6"/>
      <c r="BB12" s="6"/>
      <c r="BC12" s="6"/>
    </row>
    <row r="13" spans="1:55" x14ac:dyDescent="0.25">
      <c r="A13" s="2" t="s">
        <v>14</v>
      </c>
      <c r="B13" s="3">
        <v>1</v>
      </c>
      <c r="C13" s="6"/>
      <c r="D13" s="6"/>
      <c r="E13" s="6"/>
      <c r="F13" s="6"/>
      <c r="G13" s="39"/>
      <c r="H13" s="40"/>
      <c r="I13" s="41"/>
      <c r="J13" s="6"/>
      <c r="K13" s="6"/>
      <c r="L13" s="6"/>
      <c r="M13" s="6"/>
      <c r="N13" s="6"/>
      <c r="O13" s="6"/>
      <c r="P13" s="6"/>
      <c r="Q13" s="6"/>
      <c r="R13" s="30"/>
      <c r="S13" s="31"/>
      <c r="T13" s="32"/>
      <c r="U13" s="6"/>
      <c r="V13" s="6"/>
      <c r="W13" s="6"/>
      <c r="X13" s="6"/>
      <c r="Y13" s="6"/>
      <c r="Z13" s="6"/>
      <c r="AA13" s="6"/>
      <c r="AB13" s="6"/>
      <c r="AC13" s="6"/>
      <c r="AD13" s="30"/>
      <c r="AE13" s="31"/>
      <c r="AF13" s="32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30"/>
      <c r="AS13" s="31"/>
      <c r="AT13" s="32"/>
      <c r="AU13" s="6"/>
      <c r="AV13" s="6"/>
      <c r="AW13" s="6"/>
      <c r="AX13" s="6"/>
      <c r="AY13" s="6"/>
      <c r="AZ13" s="6"/>
      <c r="BA13" s="6"/>
      <c r="BB13" s="6"/>
      <c r="BC13" s="6"/>
    </row>
    <row r="14" spans="1:55" x14ac:dyDescent="0.25">
      <c r="A14" s="2" t="s">
        <v>15</v>
      </c>
      <c r="B14" s="3">
        <v>1</v>
      </c>
      <c r="C14" s="6"/>
      <c r="D14" s="6"/>
      <c r="E14" s="6"/>
      <c r="F14" s="6"/>
      <c r="G14" s="39"/>
      <c r="H14" s="40"/>
      <c r="I14" s="41"/>
      <c r="J14" s="6"/>
      <c r="K14" s="6"/>
      <c r="L14" s="6"/>
      <c r="M14" s="6"/>
      <c r="N14" s="6"/>
      <c r="O14" s="6"/>
      <c r="P14" s="6"/>
      <c r="Q14" s="6"/>
      <c r="R14" s="30"/>
      <c r="S14" s="31"/>
      <c r="T14" s="32"/>
      <c r="U14" s="6"/>
      <c r="V14" s="6"/>
      <c r="W14" s="6"/>
      <c r="X14" s="6"/>
      <c r="Y14" s="6"/>
      <c r="Z14" s="6"/>
      <c r="AA14" s="6"/>
      <c r="AB14" s="6"/>
      <c r="AC14" s="6"/>
      <c r="AD14" s="30"/>
      <c r="AE14" s="31"/>
      <c r="AF14" s="32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30"/>
      <c r="AS14" s="31"/>
      <c r="AT14" s="32"/>
      <c r="AU14" s="6"/>
      <c r="AV14" s="6"/>
      <c r="AW14" s="6"/>
      <c r="AX14" s="6"/>
      <c r="AY14" s="6"/>
      <c r="AZ14" s="6"/>
      <c r="BA14" s="6"/>
      <c r="BB14" s="6"/>
      <c r="BC14" s="6"/>
    </row>
    <row r="15" spans="1:55" ht="15.75" thickBot="1" x14ac:dyDescent="0.3">
      <c r="A15" s="1" t="s">
        <v>16</v>
      </c>
      <c r="B15" s="4"/>
      <c r="C15" s="6"/>
      <c r="D15" s="6"/>
      <c r="E15" s="6"/>
      <c r="F15" s="6"/>
      <c r="G15" s="42"/>
      <c r="H15" s="43"/>
      <c r="I15" s="44"/>
      <c r="J15" s="6"/>
      <c r="K15" s="6"/>
      <c r="L15" s="6"/>
      <c r="M15" s="6"/>
      <c r="N15" s="6"/>
      <c r="O15" s="6"/>
      <c r="P15" s="6"/>
      <c r="Q15" s="6"/>
      <c r="R15" s="33"/>
      <c r="S15" s="34"/>
      <c r="T15" s="35"/>
      <c r="U15" s="6"/>
      <c r="V15" s="6"/>
      <c r="W15" s="6"/>
      <c r="X15" s="6"/>
      <c r="Y15" s="6"/>
      <c r="Z15" s="6"/>
      <c r="AA15" s="6"/>
      <c r="AB15" s="6"/>
      <c r="AC15" s="6"/>
      <c r="AD15" s="33"/>
      <c r="AE15" s="34"/>
      <c r="AF15" s="35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33"/>
      <c r="AS15" s="34"/>
      <c r="AT15" s="35"/>
      <c r="AU15" s="6"/>
      <c r="AV15" s="6"/>
      <c r="AW15" s="6"/>
      <c r="AX15" s="6"/>
      <c r="AY15" s="6"/>
      <c r="AZ15" s="6"/>
      <c r="BA15" s="6"/>
      <c r="BB15" s="6"/>
      <c r="BC15" s="6"/>
    </row>
    <row r="16" spans="1:55" x14ac:dyDescent="0.25">
      <c r="A16" s="2" t="s">
        <v>17</v>
      </c>
      <c r="B16" s="3" t="b">
        <v>0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</row>
    <row r="17" spans="1:55" x14ac:dyDescent="0.25">
      <c r="A17" s="2" t="s">
        <v>18</v>
      </c>
      <c r="B17" s="3">
        <v>1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</row>
    <row r="18" spans="1:55" x14ac:dyDescent="0.25">
      <c r="A18" s="2" t="s">
        <v>19</v>
      </c>
      <c r="B18" s="3" t="str">
        <f ca="1">IFERROR(MATCH(AR4,Reminders,0)+3,"")</f>
        <v/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</row>
    <row r="19" spans="1:55" x14ac:dyDescent="0.25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</row>
    <row r="20" spans="1:55" x14ac:dyDescent="0.25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</row>
    <row r="21" spans="1:55" x14ac:dyDescent="0.25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</row>
    <row r="22" spans="1:55" x14ac:dyDescent="0.25"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</row>
    <row r="23" spans="1:55" x14ac:dyDescent="0.25"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</row>
    <row r="24" spans="1:55" x14ac:dyDescent="0.25"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</row>
    <row r="25" spans="1:55" x14ac:dyDescent="0.25"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</row>
    <row r="26" spans="1:55" x14ac:dyDescent="0.25"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</row>
    <row r="27" spans="1:55" x14ac:dyDescent="0.25"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</row>
    <row r="28" spans="1:55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</row>
    <row r="29" spans="1:55" x14ac:dyDescent="0.25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</row>
    <row r="30" spans="1:55" x14ac:dyDescent="0.25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</row>
    <row r="31" spans="1:55" x14ac:dyDescent="0.25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</row>
    <row r="32" spans="1:55" x14ac:dyDescent="0.25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</row>
    <row r="33" spans="3:55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</row>
    <row r="34" spans="3:55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</row>
    <row r="35" spans="3:55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</row>
    <row r="36" spans="3:55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</row>
    <row r="37" spans="3:55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</row>
    <row r="38" spans="3:55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</row>
    <row r="39" spans="3:55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</row>
    <row r="40" spans="3:55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</row>
    <row r="41" spans="3:55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</row>
    <row r="42" spans="3:55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</row>
    <row r="43" spans="3:55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</row>
    <row r="44" spans="3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</row>
    <row r="45" spans="3:55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</row>
    <row r="46" spans="3:55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</row>
    <row r="47" spans="3:55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</row>
    <row r="48" spans="3:55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</row>
    <row r="49" spans="3:55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</row>
    <row r="50" spans="3:55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</row>
    <row r="51" spans="3:55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</row>
    <row r="52" spans="3:55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</row>
    <row r="53" spans="3:55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</row>
    <row r="54" spans="3:55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</row>
    <row r="55" spans="3:55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</row>
    <row r="56" spans="3:55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</row>
    <row r="57" spans="3:55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</row>
    <row r="58" spans="3:55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</row>
    <row r="59" spans="3:55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</row>
    <row r="60" spans="3:55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</row>
    <row r="61" spans="3:55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</row>
    <row r="62" spans="3:55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</row>
    <row r="63" spans="3:55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</row>
    <row r="64" spans="3:55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</row>
    <row r="65" spans="3:55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</row>
    <row r="66" spans="3:55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</row>
    <row r="67" spans="3:55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</row>
    <row r="68" spans="3:55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</row>
    <row r="69" spans="3:55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</row>
    <row r="70" spans="3:55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</row>
    <row r="71" spans="3:55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</row>
    <row r="72" spans="3:55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</row>
    <row r="73" spans="3:55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</row>
    <row r="74" spans="3:55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</row>
    <row r="75" spans="3:55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</row>
    <row r="76" spans="3:55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</row>
    <row r="77" spans="3:55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</row>
    <row r="78" spans="3:55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</row>
    <row r="79" spans="3:55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</row>
    <row r="80" spans="3:55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</row>
    <row r="81" spans="3:55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</row>
  </sheetData>
  <mergeCells count="10">
    <mergeCell ref="AC1:AH1"/>
    <mergeCell ref="AD8:AF15"/>
    <mergeCell ref="AR8:AT15"/>
    <mergeCell ref="AQ1:AV1"/>
    <mergeCell ref="F1:K1"/>
    <mergeCell ref="G8:I15"/>
    <mergeCell ref="R8:T15"/>
    <mergeCell ref="Q1:V1"/>
    <mergeCell ref="G6:I6"/>
    <mergeCell ref="R6:T6"/>
  </mergeCells>
  <dataValidations count="1">
    <dataValidation type="list" allowBlank="1" showInputMessage="1" showErrorMessage="1" sqref="AF4 AT4" xr:uid="{C96E1284-0A3E-4173-A229-CF4154EB0CFA}">
      <formula1>ContactNames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List Box 5">
              <controlPr defaultSize="0" autoLine="0" autoPict="0" macro="[0]!Contact_Select">
                <anchor moveWithCells="1">
                  <from>
                    <xdr:col>3</xdr:col>
                    <xdr:colOff>0</xdr:colOff>
                    <xdr:row>2</xdr:row>
                    <xdr:rowOff>9525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List Box 8">
              <controlPr defaultSize="0" autoLine="0" autoPict="0" macro="[1]!Contact_Select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14</xdr:col>
                    <xdr:colOff>1104900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" name="List Box 9">
              <controlPr defaultSize="0" autoLine="0" autoPict="0" macro="[1]!Contact_Select">
                <anchor moveWithCells="1">
                  <from>
                    <xdr:col>20</xdr:col>
                    <xdr:colOff>304800</xdr:colOff>
                    <xdr:row>2</xdr:row>
                    <xdr:rowOff>0</xdr:rowOff>
                  </from>
                  <to>
                    <xdr:col>21</xdr:col>
                    <xdr:colOff>1295400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List Box 13">
              <controlPr defaultSize="0" autoLine="0" autoPict="0" macro="[1]!Contact_Select">
                <anchor mov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List Box 16">
              <controlPr defaultSize="0" autoLine="0" autoPict="0" macro="[1]!Contact_Select">
                <anchor moveWithCells="1">
                  <from>
                    <xdr:col>22</xdr:col>
                    <xdr:colOff>0</xdr:colOff>
                    <xdr:row>1</xdr:row>
                    <xdr:rowOff>180975</xdr:rowOff>
                  </from>
                  <to>
                    <xdr:col>22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List Box 21">
              <controlPr defaultSize="0" autoLine="0" autoPict="0" macro="[1]!Contact_Select">
                <anchor moveWithCells="1">
                  <from>
                    <xdr:col>22</xdr:col>
                    <xdr:colOff>0</xdr:colOff>
                    <xdr:row>2</xdr:row>
                    <xdr:rowOff>9525</xdr:rowOff>
                  </from>
                  <to>
                    <xdr:col>22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List Box 22">
              <controlPr defaultSize="0" autoLine="0" autoPict="0" macro="[1]!Contact_Select">
                <anchor mov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14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CAC791-2025-4F9F-9C95-00822D211660}">
          <x14:formula1>
            <xm:f>Contacts!$A$4:$A$1048576</xm:f>
          </x14:formula1>
          <xm:sqref>G2 R2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7AC3C-0CD9-43A9-A6B0-26DDA9A767A6}">
  <sheetPr codeName="Sheet4"/>
  <dimension ref="A1:D12"/>
  <sheetViews>
    <sheetView workbookViewId="0">
      <selection activeCell="C20" sqref="C20"/>
    </sheetView>
  </sheetViews>
  <sheetFormatPr defaultRowHeight="15" x14ac:dyDescent="0.25"/>
  <cols>
    <col min="1" max="1" width="13.42578125" bestFit="1" customWidth="1"/>
    <col min="2" max="2" width="11" bestFit="1" customWidth="1"/>
    <col min="3" max="3" width="31" bestFit="1" customWidth="1"/>
    <col min="4" max="4" width="19.28515625" bestFit="1" customWidth="1"/>
  </cols>
  <sheetData>
    <row r="1" spans="1:4" x14ac:dyDescent="0.25">
      <c r="A1" s="7" t="s">
        <v>21</v>
      </c>
      <c r="B1" s="7" t="s">
        <v>22</v>
      </c>
      <c r="C1" s="7" t="s">
        <v>23</v>
      </c>
      <c r="D1" s="7" t="s">
        <v>24</v>
      </c>
    </row>
    <row r="2" spans="1:4" x14ac:dyDescent="0.25">
      <c r="A2" s="48" t="s">
        <v>25</v>
      </c>
      <c r="B2" s="48"/>
      <c r="C2" s="48"/>
      <c r="D2" s="48"/>
    </row>
    <row r="3" spans="1:4" x14ac:dyDescent="0.25">
      <c r="A3" s="8" t="s">
        <v>0</v>
      </c>
      <c r="B3" s="8" t="s">
        <v>1</v>
      </c>
      <c r="C3" s="8" t="s">
        <v>2</v>
      </c>
      <c r="D3" s="8" t="s">
        <v>3</v>
      </c>
    </row>
    <row r="4" spans="1:4" x14ac:dyDescent="0.25">
      <c r="A4" t="s">
        <v>26</v>
      </c>
      <c r="B4">
        <v>3105558545</v>
      </c>
      <c r="C4" s="9" t="s">
        <v>27</v>
      </c>
    </row>
    <row r="5" spans="1:4" x14ac:dyDescent="0.25">
      <c r="A5" t="s">
        <v>28</v>
      </c>
      <c r="B5">
        <f>B4+50</f>
        <v>3105558595</v>
      </c>
      <c r="C5" s="9" t="s">
        <v>29</v>
      </c>
    </row>
    <row r="6" spans="1:4" x14ac:dyDescent="0.25">
      <c r="A6" t="s">
        <v>30</v>
      </c>
      <c r="B6">
        <f>B5+50</f>
        <v>3105558645</v>
      </c>
      <c r="C6" s="9" t="s">
        <v>31</v>
      </c>
    </row>
    <row r="7" spans="1:4" x14ac:dyDescent="0.25">
      <c r="A7" t="s">
        <v>32</v>
      </c>
      <c r="B7">
        <f>B6+50</f>
        <v>3105558695</v>
      </c>
      <c r="C7" s="9" t="s">
        <v>33</v>
      </c>
    </row>
    <row r="8" spans="1:4" x14ac:dyDescent="0.25">
      <c r="A8" t="s">
        <v>34</v>
      </c>
      <c r="B8">
        <v>3105558745</v>
      </c>
      <c r="C8" s="9" t="s">
        <v>35</v>
      </c>
    </row>
    <row r="9" spans="1:4" x14ac:dyDescent="0.25">
      <c r="A9" t="s">
        <v>36</v>
      </c>
      <c r="B9">
        <v>3105558795</v>
      </c>
      <c r="C9" s="9" t="s">
        <v>37</v>
      </c>
      <c r="D9" t="s">
        <v>38</v>
      </c>
    </row>
    <row r="10" spans="1:4" x14ac:dyDescent="0.25">
      <c r="A10" t="s">
        <v>39</v>
      </c>
      <c r="B10">
        <v>31020020</v>
      </c>
      <c r="C10" s="9" t="s">
        <v>33</v>
      </c>
      <c r="D10" t="s">
        <v>40</v>
      </c>
    </row>
    <row r="11" spans="1:4" x14ac:dyDescent="0.25">
      <c r="A11" t="s">
        <v>41</v>
      </c>
      <c r="B11">
        <v>1212121212</v>
      </c>
      <c r="C11" t="s">
        <v>42</v>
      </c>
      <c r="D11" t="s">
        <v>113</v>
      </c>
    </row>
    <row r="12" spans="1:4" x14ac:dyDescent="0.25">
      <c r="A12" t="s">
        <v>26</v>
      </c>
      <c r="C12" t="s">
        <v>43</v>
      </c>
      <c r="D12" t="s">
        <v>44</v>
      </c>
    </row>
  </sheetData>
  <mergeCells count="1">
    <mergeCell ref="A2:D2"/>
  </mergeCells>
  <hyperlinks>
    <hyperlink ref="C4" r:id="rId1" xr:uid="{7A33C367-30E8-422C-8F56-B1846EC1536F}"/>
    <hyperlink ref="C5" r:id="rId2" xr:uid="{3E333201-ADB1-431F-923B-78D9F9337E17}"/>
    <hyperlink ref="C6" r:id="rId3" xr:uid="{B5FBCF8D-BF93-46B2-A828-1C18C6E67551}"/>
    <hyperlink ref="C7" r:id="rId4" xr:uid="{692128ED-04C9-4FE5-ABEE-D0820908543C}"/>
    <hyperlink ref="C8" r:id="rId5" xr:uid="{C1755518-A707-4F33-A437-83CF12048496}"/>
    <hyperlink ref="C9" r:id="rId6" xr:uid="{1B0D6A98-866B-42F0-BA2B-F2C2B9D9F375}"/>
    <hyperlink ref="C10" r:id="rId7" xr:uid="{742A381B-1FCB-4C36-B7DE-84BE0805F5B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AD61C-9AAB-4D55-851B-03D656C70A0D}">
  <sheetPr codeName="Sheet5"/>
  <dimension ref="A1:E6"/>
  <sheetViews>
    <sheetView workbookViewId="0">
      <selection sqref="A1:A1048576"/>
    </sheetView>
  </sheetViews>
  <sheetFormatPr defaultRowHeight="15" x14ac:dyDescent="0.25"/>
  <cols>
    <col min="1" max="1" width="22.28515625" bestFit="1" customWidth="1"/>
    <col min="2" max="2" width="11.28515625" bestFit="1" customWidth="1"/>
    <col min="3" max="3" width="17.85546875" customWidth="1"/>
    <col min="4" max="4" width="21.140625" bestFit="1" customWidth="1"/>
  </cols>
  <sheetData>
    <row r="1" spans="1:5" x14ac:dyDescent="0.25">
      <c r="A1" s="7" t="s">
        <v>45</v>
      </c>
      <c r="B1" s="7" t="s">
        <v>46</v>
      </c>
      <c r="C1" s="7" t="s">
        <v>47</v>
      </c>
      <c r="D1" s="7" t="s">
        <v>48</v>
      </c>
      <c r="E1" s="7"/>
    </row>
    <row r="2" spans="1:5" x14ac:dyDescent="0.25">
      <c r="A2" s="49" t="s">
        <v>49</v>
      </c>
      <c r="B2" s="50"/>
      <c r="C2" s="50"/>
      <c r="D2" s="50"/>
      <c r="E2" s="10"/>
    </row>
    <row r="3" spans="1:5" x14ac:dyDescent="0.25">
      <c r="A3" s="11" t="s">
        <v>0</v>
      </c>
      <c r="B3" s="11" t="s">
        <v>50</v>
      </c>
      <c r="C3" s="11" t="s">
        <v>51</v>
      </c>
      <c r="D3" s="11" t="s">
        <v>3</v>
      </c>
      <c r="E3" s="11"/>
    </row>
    <row r="4" spans="1:5" x14ac:dyDescent="0.25">
      <c r="A4" t="s">
        <v>52</v>
      </c>
      <c r="B4" t="s">
        <v>32</v>
      </c>
      <c r="C4" t="s">
        <v>53</v>
      </c>
      <c r="D4" t="s">
        <v>54</v>
      </c>
    </row>
    <row r="5" spans="1:5" x14ac:dyDescent="0.25">
      <c r="A5" t="s">
        <v>55</v>
      </c>
      <c r="C5" t="s">
        <v>56</v>
      </c>
    </row>
    <row r="6" spans="1:5" x14ac:dyDescent="0.25">
      <c r="A6" t="s">
        <v>52</v>
      </c>
      <c r="B6" t="s">
        <v>30</v>
      </c>
      <c r="C6" t="s">
        <v>53</v>
      </c>
      <c r="D6" t="s">
        <v>40</v>
      </c>
    </row>
  </sheetData>
  <mergeCells count="1">
    <mergeCell ref="A2:D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868DE-6F5A-46A9-A89B-1F528623BACB}">
  <sheetPr codeName="Sheet6"/>
  <dimension ref="A1:E6"/>
  <sheetViews>
    <sheetView workbookViewId="0">
      <selection activeCell="E13" sqref="E13"/>
    </sheetView>
  </sheetViews>
  <sheetFormatPr defaultRowHeight="15" x14ac:dyDescent="0.25"/>
  <cols>
    <col min="1" max="1" width="9.85546875" bestFit="1" customWidth="1"/>
    <col min="2" max="2" width="15.42578125" bestFit="1" customWidth="1"/>
    <col min="3" max="3" width="11.7109375" bestFit="1" customWidth="1"/>
    <col min="4" max="4" width="97.42578125" bestFit="1" customWidth="1"/>
    <col min="5" max="5" width="12.85546875" bestFit="1" customWidth="1"/>
  </cols>
  <sheetData>
    <row r="1" spans="1:5" x14ac:dyDescent="0.25">
      <c r="A1" s="7" t="s">
        <v>57</v>
      </c>
      <c r="B1" s="7" t="s">
        <v>58</v>
      </c>
      <c r="C1" s="7" t="s">
        <v>59</v>
      </c>
      <c r="D1" s="7" t="s">
        <v>60</v>
      </c>
      <c r="E1" s="7" t="s">
        <v>61</v>
      </c>
    </row>
    <row r="2" spans="1:5" x14ac:dyDescent="0.25">
      <c r="A2" s="51" t="s">
        <v>62</v>
      </c>
      <c r="B2" s="51"/>
      <c r="C2" s="51"/>
      <c r="D2" s="51"/>
      <c r="E2" s="51"/>
    </row>
    <row r="3" spans="1:5" x14ac:dyDescent="0.25">
      <c r="A3" s="12" t="s">
        <v>63</v>
      </c>
      <c r="B3" s="12" t="s">
        <v>2</v>
      </c>
      <c r="C3" s="12" t="s">
        <v>64</v>
      </c>
      <c r="D3" s="12" t="s">
        <v>65</v>
      </c>
      <c r="E3" s="12" t="s">
        <v>66</v>
      </c>
    </row>
    <row r="4" spans="1:5" x14ac:dyDescent="0.25">
      <c r="A4" t="s">
        <v>30</v>
      </c>
      <c r="B4" t="s">
        <v>31</v>
      </c>
      <c r="C4" t="s">
        <v>67</v>
      </c>
      <c r="D4" t="s">
        <v>53</v>
      </c>
      <c r="E4" t="s">
        <v>68</v>
      </c>
    </row>
    <row r="5" spans="1:5" x14ac:dyDescent="0.25">
      <c r="A5" t="s">
        <v>30</v>
      </c>
      <c r="B5" t="s">
        <v>31</v>
      </c>
      <c r="C5" t="s">
        <v>69</v>
      </c>
      <c r="D5" t="s">
        <v>56</v>
      </c>
      <c r="E5" t="s">
        <v>69</v>
      </c>
    </row>
    <row r="6" spans="1:5" x14ac:dyDescent="0.25">
      <c r="A6" t="s">
        <v>30</v>
      </c>
      <c r="B6" t="s">
        <v>31</v>
      </c>
      <c r="C6" t="s">
        <v>67</v>
      </c>
      <c r="D6" t="s">
        <v>56</v>
      </c>
      <c r="E6" t="s">
        <v>68</v>
      </c>
    </row>
  </sheetData>
  <mergeCells count="1">
    <mergeCell ref="A2:E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495FB-704F-4F65-B588-A49ED9FB88D2}">
  <sheetPr codeName="Sheet7"/>
  <dimension ref="A1:F9"/>
  <sheetViews>
    <sheetView workbookViewId="0">
      <selection activeCell="F4" sqref="F4"/>
    </sheetView>
  </sheetViews>
  <sheetFormatPr defaultRowHeight="15" x14ac:dyDescent="0.25"/>
  <cols>
    <col min="1" max="1" width="17.5703125" bestFit="1" customWidth="1"/>
    <col min="2" max="2" width="13.42578125" bestFit="1" customWidth="1"/>
    <col min="3" max="3" width="9.7109375" bestFit="1" customWidth="1"/>
    <col min="4" max="4" width="10.5703125" bestFit="1" customWidth="1"/>
    <col min="5" max="5" width="12.5703125" bestFit="1" customWidth="1"/>
    <col min="6" max="6" width="43.7109375" bestFit="1" customWidth="1"/>
  </cols>
  <sheetData>
    <row r="1" spans="1:6" x14ac:dyDescent="0.25">
      <c r="A1" s="7" t="s">
        <v>70</v>
      </c>
      <c r="B1" s="7" t="s">
        <v>71</v>
      </c>
      <c r="C1" s="13" t="s">
        <v>72</v>
      </c>
      <c r="D1" s="7" t="s">
        <v>73</v>
      </c>
      <c r="E1" s="7" t="s">
        <v>74</v>
      </c>
    </row>
    <row r="2" spans="1:6" x14ac:dyDescent="0.25">
      <c r="A2" s="52" t="s">
        <v>75</v>
      </c>
      <c r="B2" s="52"/>
      <c r="C2" s="52"/>
      <c r="D2" s="52"/>
      <c r="E2" s="52"/>
      <c r="F2" t="str">
        <f>A2&amp;" on "&amp;TEXT(C2,"dd/mm/yyyy")&amp;" at "&amp;TEXT(D2,"h:mm AM/PM")</f>
        <v>Reminders Database on 00/01/1900 at 12:00 AM</v>
      </c>
    </row>
    <row r="3" spans="1:6" x14ac:dyDescent="0.25">
      <c r="A3" s="14" t="s">
        <v>76</v>
      </c>
      <c r="B3" s="14" t="s">
        <v>50</v>
      </c>
      <c r="C3" s="14" t="s">
        <v>77</v>
      </c>
      <c r="D3" s="14" t="s">
        <v>78</v>
      </c>
      <c r="E3" s="14" t="s">
        <v>79</v>
      </c>
      <c r="F3" s="15" t="s">
        <v>80</v>
      </c>
    </row>
    <row r="4" spans="1:6" x14ac:dyDescent="0.25">
      <c r="A4" t="s">
        <v>81</v>
      </c>
      <c r="B4" t="s">
        <v>26</v>
      </c>
      <c r="C4" s="16">
        <v>43831</v>
      </c>
      <c r="D4" s="17">
        <v>0.33333333333333331</v>
      </c>
      <c r="E4" t="s">
        <v>82</v>
      </c>
      <c r="F4" t="str">
        <f t="shared" ref="F4:F6" si="0">A4&amp;" on "&amp;TEXT(C4,"dd/mm/yyyy")&amp;" at "&amp;TEXT(D4,"h:mm AM/PM")</f>
        <v>Call Fred on 01/01/2020 at 8:00 AM</v>
      </c>
    </row>
    <row r="5" spans="1:6" x14ac:dyDescent="0.25">
      <c r="A5" t="s">
        <v>83</v>
      </c>
      <c r="B5" t="s">
        <v>28</v>
      </c>
      <c r="C5" s="16">
        <v>43850</v>
      </c>
      <c r="D5" s="17">
        <v>0.33333333333333331</v>
      </c>
      <c r="E5" t="s">
        <v>84</v>
      </c>
      <c r="F5" t="str">
        <f t="shared" si="0"/>
        <v>Call David on 20/01/2020 at 8:00 AM</v>
      </c>
    </row>
    <row r="6" spans="1:6" x14ac:dyDescent="0.25">
      <c r="A6" t="s">
        <v>85</v>
      </c>
      <c r="B6" t="s">
        <v>28</v>
      </c>
      <c r="C6" s="16">
        <v>43850</v>
      </c>
      <c r="D6" s="17">
        <v>0.70833333333333337</v>
      </c>
      <c r="E6" t="s">
        <v>86</v>
      </c>
      <c r="F6" t="str">
        <f t="shared" si="0"/>
        <v>Davids Meeting on 20/01/2020 at 5:00 PM</v>
      </c>
    </row>
    <row r="7" spans="1:6" x14ac:dyDescent="0.25">
      <c r="A7" t="s">
        <v>87</v>
      </c>
      <c r="B7" t="s">
        <v>26</v>
      </c>
      <c r="C7" s="16">
        <v>43831</v>
      </c>
      <c r="D7" s="17">
        <v>0.33333333333333331</v>
      </c>
      <c r="E7" t="s">
        <v>88</v>
      </c>
      <c r="F7" t="str">
        <f>A7&amp;" on "&amp;TEXT(C7,"dd/mm/yyyy")&amp;" at "&amp;TEXT(D7,"h:mm AM/PM")</f>
        <v>Meeting with Fred on 01/01/2020 at 8:00 AM</v>
      </c>
    </row>
    <row r="8" spans="1:6" x14ac:dyDescent="0.25">
      <c r="D8" s="17"/>
      <c r="F8" s="18"/>
    </row>
    <row r="9" spans="1:6" x14ac:dyDescent="0.25">
      <c r="D9" s="17"/>
    </row>
  </sheetData>
  <mergeCells count="1"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Mini-CRM</vt:lpstr>
      <vt:lpstr>Contacts</vt:lpstr>
      <vt:lpstr>Documents</vt:lpstr>
      <vt:lpstr>Emails</vt:lpstr>
      <vt:lpstr>Reminder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 man</dc:creator>
  <cp:lastModifiedBy>x man</cp:lastModifiedBy>
  <dcterms:created xsi:type="dcterms:W3CDTF">2024-05-26T03:53:07Z</dcterms:created>
  <dcterms:modified xsi:type="dcterms:W3CDTF">2024-06-05T05:45:57Z</dcterms:modified>
</cp:coreProperties>
</file>